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0"/>
  <workbookPr defaultThemeVersion="166925"/>
  <mc:AlternateContent xmlns:mc="http://schemas.openxmlformats.org/markup-compatibility/2006">
    <mc:Choice Requires="x15">
      <x15ac:absPath xmlns:x15ac="http://schemas.microsoft.com/office/spreadsheetml/2010/11/ac" url="/Users/tiagotts/Downloads/"/>
    </mc:Choice>
  </mc:AlternateContent>
  <xr:revisionPtr revIDLastSave="0" documentId="13_ncr:1_{BD4B39A5-AA10-0642-B555-01C6A80D7830}" xr6:coauthVersionLast="47" xr6:coauthVersionMax="47" xr10:uidLastSave="{00000000-0000-0000-0000-000000000000}"/>
  <bookViews>
    <workbookView xWindow="30240" yWindow="19640" windowWidth="51200" windowHeight="21600" tabRatio="630" activeTab="3" xr2:uid="{F3961328-0035-4217-99ED-6477153DAF09}"/>
  </bookViews>
  <sheets>
    <sheet name="RANKING 2025" sheetId="47" r:id="rId1"/>
    <sheet name="REGULAMENTO S17M" sheetId="48" r:id="rId2"/>
    <sheet name="GRUPOS" sheetId="49" r:id="rId3"/>
    <sheet name="TABELA MASC" sheetId="50" r:id="rId4"/>
    <sheet name="AVERAGE MASC" sheetId="51" r:id="rId5"/>
  </sheets>
  <definedNames>
    <definedName name="FromArray_1" localSheetId="0">_xlfn.ANCHORARRAY(#REF!)</definedName>
    <definedName name="FromArray_1">_xlfn.ANCHORARRAY(#REF!)</definedName>
    <definedName name="_xlnm.Print_Titles" localSheetId="0">'RANKING 2025'!$1:$6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4" i="49" l="1"/>
  <c r="J42" i="47"/>
  <c r="J46" i="47"/>
  <c r="J51" i="47"/>
  <c r="J52" i="47"/>
  <c r="P37" i="51"/>
  <c r="O37" i="51"/>
  <c r="L37" i="51"/>
  <c r="K37" i="51"/>
  <c r="H37" i="51"/>
  <c r="G37" i="51"/>
  <c r="D37" i="51"/>
  <c r="C37" i="51"/>
  <c r="P36" i="51"/>
  <c r="O36" i="51"/>
  <c r="L36" i="51"/>
  <c r="K36" i="51"/>
  <c r="H36" i="51"/>
  <c r="G36" i="51"/>
  <c r="D36" i="51"/>
  <c r="C36" i="51"/>
  <c r="P35" i="51"/>
  <c r="O35" i="51"/>
  <c r="O38" i="51" s="1"/>
  <c r="L35" i="51"/>
  <c r="L38" i="51" s="1"/>
  <c r="K35" i="51"/>
  <c r="H35" i="51"/>
  <c r="G35" i="51"/>
  <c r="D35" i="51"/>
  <c r="C35" i="51"/>
  <c r="P26" i="51"/>
  <c r="O26" i="51"/>
  <c r="L26" i="51"/>
  <c r="K26" i="51"/>
  <c r="H26" i="51"/>
  <c r="G26" i="51"/>
  <c r="D26" i="51"/>
  <c r="C26" i="51"/>
  <c r="P25" i="51"/>
  <c r="O25" i="51"/>
  <c r="L25" i="51"/>
  <c r="K25" i="51"/>
  <c r="H25" i="51"/>
  <c r="G25" i="51"/>
  <c r="D25" i="51"/>
  <c r="C25" i="51"/>
  <c r="P24" i="51"/>
  <c r="O24" i="51"/>
  <c r="L24" i="51"/>
  <c r="L27" i="51" s="1"/>
  <c r="K24" i="51"/>
  <c r="H24" i="51"/>
  <c r="G24" i="51"/>
  <c r="D24" i="51"/>
  <c r="C24" i="51"/>
  <c r="P15" i="51"/>
  <c r="O15" i="51"/>
  <c r="L15" i="51"/>
  <c r="K15" i="51"/>
  <c r="H15" i="51"/>
  <c r="G15" i="51"/>
  <c r="D15" i="51"/>
  <c r="C15" i="51"/>
  <c r="P14" i="51"/>
  <c r="O14" i="51"/>
  <c r="L14" i="51"/>
  <c r="K14" i="51"/>
  <c r="H14" i="51"/>
  <c r="G14" i="51"/>
  <c r="D14" i="51"/>
  <c r="C14" i="51"/>
  <c r="P13" i="51"/>
  <c r="O13" i="51"/>
  <c r="L13" i="51"/>
  <c r="L16" i="51" s="1"/>
  <c r="K13" i="51"/>
  <c r="H13" i="51"/>
  <c r="G13" i="51"/>
  <c r="D13" i="51"/>
  <c r="C13" i="51"/>
  <c r="K33" i="50"/>
  <c r="G33" i="50"/>
  <c r="K32" i="50"/>
  <c r="G32" i="50"/>
  <c r="K31" i="50"/>
  <c r="G31" i="50"/>
  <c r="K30" i="50"/>
  <c r="G30" i="50"/>
  <c r="S23" i="49"/>
  <c r="S27" i="49"/>
  <c r="S19" i="49"/>
  <c r="S22" i="49"/>
  <c r="S26" i="49"/>
  <c r="S25" i="49"/>
  <c r="S20" i="49"/>
  <c r="S18" i="49"/>
  <c r="S28" i="49"/>
  <c r="S29" i="49"/>
  <c r="S21" i="49"/>
  <c r="K14" i="49"/>
  <c r="K21" i="50" s="1"/>
  <c r="G14" i="49"/>
  <c r="K20" i="50" s="1"/>
  <c r="C14" i="49"/>
  <c r="K19" i="50" s="1"/>
  <c r="K13" i="49"/>
  <c r="G27" i="50" s="1"/>
  <c r="G13" i="49"/>
  <c r="J23" i="51" s="1"/>
  <c r="C13" i="49"/>
  <c r="K16" i="50" s="1"/>
  <c r="K12" i="49"/>
  <c r="F34" i="51" s="1"/>
  <c r="G12" i="49"/>
  <c r="G20" i="50" s="1"/>
  <c r="C12" i="49"/>
  <c r="G13" i="50" s="1"/>
  <c r="K11" i="49"/>
  <c r="G24" i="50" s="1"/>
  <c r="G11" i="49"/>
  <c r="G23" i="50" s="1"/>
  <c r="C11" i="49"/>
  <c r="B12" i="51" s="1"/>
  <c r="J8" i="47"/>
  <c r="J48" i="47"/>
  <c r="J25" i="47"/>
  <c r="J47" i="47"/>
  <c r="J53" i="47"/>
  <c r="J41" i="47"/>
  <c r="J30" i="47"/>
  <c r="J23" i="47"/>
  <c r="J50" i="47"/>
  <c r="J28" i="47"/>
  <c r="J36" i="47"/>
  <c r="J26" i="47"/>
  <c r="J39" i="47"/>
  <c r="J21" i="47"/>
  <c r="J20" i="47"/>
  <c r="J17" i="47"/>
  <c r="J24" i="47"/>
  <c r="J12" i="47"/>
  <c r="J33" i="47"/>
  <c r="J22" i="47"/>
  <c r="J19" i="47"/>
  <c r="C27" i="51" l="1"/>
  <c r="G16" i="51"/>
  <c r="D38" i="51"/>
  <c r="K10" i="50"/>
  <c r="K38" i="51"/>
  <c r="L39" i="51" s="1"/>
  <c r="P16" i="51"/>
  <c r="H16" i="51"/>
  <c r="H17" i="51" s="1"/>
  <c r="D16" i="51"/>
  <c r="D27" i="51"/>
  <c r="G27" i="51"/>
  <c r="K25" i="50"/>
  <c r="H38" i="51"/>
  <c r="G38" i="51"/>
  <c r="C38" i="51"/>
  <c r="O27" i="51"/>
  <c r="K27" i="51"/>
  <c r="L28" i="51" s="1"/>
  <c r="K16" i="51"/>
  <c r="L17" i="51" s="1"/>
  <c r="H27" i="51"/>
  <c r="P38" i="51"/>
  <c r="P39" i="51" s="1"/>
  <c r="O16" i="51"/>
  <c r="C16" i="51"/>
  <c r="D28" i="51"/>
  <c r="P27" i="51"/>
  <c r="K11" i="50"/>
  <c r="K26" i="50"/>
  <c r="K12" i="50"/>
  <c r="K27" i="50"/>
  <c r="K15" i="50"/>
  <c r="N12" i="51"/>
  <c r="N23" i="51"/>
  <c r="J34" i="51"/>
  <c r="G21" i="50"/>
  <c r="N34" i="51"/>
  <c r="K23" i="50"/>
  <c r="G12" i="50"/>
  <c r="G18" i="50"/>
  <c r="B34" i="51"/>
  <c r="G17" i="50"/>
  <c r="B23" i="51"/>
  <c r="G22" i="50"/>
  <c r="G16" i="50"/>
  <c r="K17" i="50"/>
  <c r="G14" i="50"/>
  <c r="K14" i="50"/>
  <c r="K18" i="50"/>
  <c r="K22" i="50"/>
  <c r="F23" i="51"/>
  <c r="G25" i="50"/>
  <c r="J12" i="51"/>
  <c r="K13" i="50"/>
  <c r="G10" i="50"/>
  <c r="G26" i="50"/>
  <c r="G11" i="50"/>
  <c r="G15" i="50"/>
  <c r="G19" i="50"/>
  <c r="K24" i="50"/>
  <c r="F12" i="51"/>
  <c r="J16" i="47"/>
  <c r="J49" i="47"/>
  <c r="J45" i="47"/>
  <c r="J44" i="47"/>
  <c r="J43" i="47"/>
  <c r="J15" i="47"/>
  <c r="J14" i="47"/>
  <c r="J40" i="47"/>
  <c r="J29" i="47"/>
  <c r="J38" i="47"/>
  <c r="J37" i="47"/>
  <c r="J13" i="47"/>
  <c r="J11" i="47"/>
  <c r="J27" i="47"/>
  <c r="J35" i="47"/>
  <c r="J10" i="47"/>
  <c r="J34" i="47"/>
  <c r="J31" i="47"/>
  <c r="J32" i="47"/>
  <c r="J9" i="47"/>
  <c r="J18" i="47"/>
  <c r="J7" i="47"/>
  <c r="D39" i="51" l="1"/>
  <c r="H39" i="51"/>
  <c r="D17" i="51"/>
  <c r="H28" i="51"/>
  <c r="P17" i="51"/>
  <c r="P28" i="51"/>
</calcChain>
</file>

<file path=xl/sharedStrings.xml><?xml version="1.0" encoding="utf-8"?>
<sst xmlns="http://schemas.openxmlformats.org/spreadsheetml/2006/main" count="559" uniqueCount="283">
  <si>
    <t>TOTAL</t>
  </si>
  <si>
    <t>1º</t>
  </si>
  <si>
    <t>4º</t>
  </si>
  <si>
    <t>2º</t>
  </si>
  <si>
    <t>3º</t>
  </si>
  <si>
    <t>5º</t>
  </si>
  <si>
    <t>6º</t>
  </si>
  <si>
    <t>7º</t>
  </si>
  <si>
    <t>8º</t>
  </si>
  <si>
    <t>9º</t>
  </si>
  <si>
    <t>10º</t>
  </si>
  <si>
    <t>11º</t>
  </si>
  <si>
    <t>Jogo</t>
  </si>
  <si>
    <t>Hora</t>
  </si>
  <si>
    <t>Quadra</t>
  </si>
  <si>
    <t>Equipe 1</t>
  </si>
  <si>
    <t>Equipe 2</t>
  </si>
  <si>
    <t>PRO</t>
  </si>
  <si>
    <t>CONTRA</t>
  </si>
  <si>
    <t>A</t>
  </si>
  <si>
    <t>MEDIA</t>
  </si>
  <si>
    <t>B</t>
  </si>
  <si>
    <t>X</t>
  </si>
  <si>
    <t>AVERAGE</t>
  </si>
  <si>
    <t>DUPLA</t>
  </si>
  <si>
    <t>Dupla</t>
  </si>
  <si>
    <t>TABELA</t>
  </si>
  <si>
    <t>CLASSIFICADOS</t>
  </si>
  <si>
    <t>POSIÇÃO</t>
  </si>
  <si>
    <t>item</t>
  </si>
  <si>
    <t>Título</t>
  </si>
  <si>
    <t>Descrição</t>
  </si>
  <si>
    <t>Observação</t>
  </si>
  <si>
    <t>VITÓRIAS</t>
  </si>
  <si>
    <t>2ª ETAPA</t>
  </si>
  <si>
    <t>Grupo</t>
  </si>
  <si>
    <t>GRUPO A</t>
  </si>
  <si>
    <t>GRUPO B</t>
  </si>
  <si>
    <t>REGULAMENTO</t>
  </si>
  <si>
    <t>Ranking de entrada</t>
  </si>
  <si>
    <t>Distribuição dos grupos</t>
  </si>
  <si>
    <t>Quantidade de jogos</t>
  </si>
  <si>
    <t>*Exceto a final 2.</t>
  </si>
  <si>
    <t>Sistema de disputa da 1ª fase</t>
  </si>
  <si>
    <t>Pontuação em Wx0</t>
  </si>
  <si>
    <t>As partidas resolvidas pela não apresentação de uma dupla resultará na vitória da dupla que se apresentou, contudo, não haverá saldo de pontos para nenhuma das duplas envolvidas. No caso de duplo W x 0, as duas duplas serão consideradas derrotadas e, consequentemente, sem saldo de pontos.</t>
  </si>
  <si>
    <t>Pontuação em partida abandonada por desistência</t>
  </si>
  <si>
    <t>As partidas em que uma dupla desistir de continuar a partida, terá o placar de 21 (ou diferença de 2 pontos) para a equipe que não desistiu. A dupla que desistiu permanece com a pontuação do momento da desistência.</t>
  </si>
  <si>
    <t>Semifinais</t>
  </si>
  <si>
    <t>Pontuação no Ranking</t>
  </si>
  <si>
    <t>A distribuição de pontos por atleta ao final de cada etapa se dará da seguinte forma:</t>
  </si>
  <si>
    <r>
      <t xml:space="preserve">1º lugar: </t>
    </r>
    <r>
      <rPr>
        <b/>
        <sz val="13"/>
        <color theme="1"/>
        <rFont val="Aptos"/>
        <family val="2"/>
      </rPr>
      <t>200</t>
    </r>
    <r>
      <rPr>
        <sz val="13"/>
        <color theme="1"/>
        <rFont val="Aptos"/>
        <family val="2"/>
      </rPr>
      <t xml:space="preserve"> / 2º lugar: </t>
    </r>
    <r>
      <rPr>
        <b/>
        <sz val="13"/>
        <color theme="1"/>
        <rFont val="Aptos"/>
        <family val="2"/>
      </rPr>
      <t xml:space="preserve">180  </t>
    </r>
    <r>
      <rPr>
        <sz val="13"/>
        <color theme="1"/>
        <rFont val="Aptos"/>
        <family val="2"/>
      </rPr>
      <t>/ 3º lugar:</t>
    </r>
    <r>
      <rPr>
        <b/>
        <sz val="13"/>
        <color theme="1"/>
        <rFont val="Aptos"/>
        <family val="2"/>
      </rPr>
      <t xml:space="preserve"> 160</t>
    </r>
    <r>
      <rPr>
        <sz val="13"/>
        <color theme="1"/>
        <rFont val="Aptos"/>
        <family val="2"/>
      </rPr>
      <t xml:space="preserve"> / 4º lugar: </t>
    </r>
    <r>
      <rPr>
        <b/>
        <sz val="13"/>
        <color theme="1"/>
        <rFont val="Aptos"/>
        <family val="2"/>
      </rPr>
      <t>140</t>
    </r>
    <r>
      <rPr>
        <sz val="13"/>
        <color theme="1"/>
        <rFont val="Aptos"/>
        <family val="2"/>
      </rPr>
      <t xml:space="preserve"> / 5º lugar: </t>
    </r>
    <r>
      <rPr>
        <b/>
        <sz val="13"/>
        <color theme="1"/>
        <rFont val="Aptos"/>
        <family val="2"/>
      </rPr>
      <t>120</t>
    </r>
    <r>
      <rPr>
        <sz val="13"/>
        <color theme="1"/>
        <rFont val="Aptos"/>
        <family val="2"/>
      </rPr>
      <t xml:space="preserve"> / 9º lugar: </t>
    </r>
    <r>
      <rPr>
        <b/>
        <sz val="13"/>
        <color theme="1"/>
        <rFont val="Aptos"/>
        <family val="2"/>
      </rPr>
      <t>100.</t>
    </r>
  </si>
  <si>
    <t>Penalidades</t>
  </si>
  <si>
    <t>Suspensão de partidas</t>
  </si>
  <si>
    <t>As partidas que precisarem ser suspensas por motivos de mau tempo, falta de iluminação e assemelhados, retornará com o placar da interrupção, caso isso ocorra em até 4 horas. Após isso, a partida recomeçará com o placar de 0x0.</t>
  </si>
  <si>
    <t>Uniformização</t>
  </si>
  <si>
    <t>Obrigatória.</t>
  </si>
  <si>
    <t>Bermudas da mesma cor.</t>
  </si>
  <si>
    <t>Preferencialmente.</t>
  </si>
  <si>
    <t>Horário de início</t>
  </si>
  <si>
    <t>Local da competição</t>
  </si>
  <si>
    <t>Quantidade de duplas</t>
  </si>
  <si>
    <t>A atleta que agir com desrespeito e violência em relação à arbitragem, adversários, parceiro e qualquer pessoa presente,  poderá ser suspenso ou banido do Circuito NCT por deliberação da Comissão Organizadora.</t>
  </si>
  <si>
    <t>3ª ETAPA</t>
  </si>
  <si>
    <t>12º</t>
  </si>
  <si>
    <t>3 jogos por equipe.</t>
  </si>
  <si>
    <t>Critérios de desempate para definição de posições no grupo</t>
  </si>
  <si>
    <t>1º - nº de vitórias.</t>
  </si>
  <si>
    <t>2º - ponto average.</t>
  </si>
  <si>
    <t>3º - confronto direto.</t>
  </si>
  <si>
    <t>4º - sorteio.</t>
  </si>
  <si>
    <t>Final 1 (disputa pelo 3º lugar)</t>
  </si>
  <si>
    <t>Final 2: (disputa pelo 1º lugar)</t>
  </si>
  <si>
    <r>
      <t xml:space="preserve">Jogo entre os vencedores das semifinais:  </t>
    </r>
    <r>
      <rPr>
        <b/>
        <sz val="13"/>
        <color theme="1"/>
        <rFont val="Aptos"/>
        <family val="2"/>
      </rPr>
      <t>2 s</t>
    </r>
    <r>
      <rPr>
        <b/>
        <i/>
        <sz val="13"/>
        <color theme="1"/>
        <rFont val="Aptos"/>
        <family val="2"/>
      </rPr>
      <t xml:space="preserve">ets </t>
    </r>
    <r>
      <rPr>
        <b/>
        <sz val="13"/>
        <color theme="1"/>
        <rFont val="Aptos"/>
        <family val="2"/>
      </rPr>
      <t xml:space="preserve">de 21 pontos e </t>
    </r>
    <r>
      <rPr>
        <b/>
        <i/>
        <sz val="13"/>
        <color theme="1"/>
        <rFont val="Aptos"/>
        <family val="2"/>
      </rPr>
      <t xml:space="preserve">set </t>
    </r>
    <r>
      <rPr>
        <b/>
        <sz val="13"/>
        <color theme="1"/>
        <rFont val="Aptos"/>
        <family val="2"/>
      </rPr>
      <t>desempate de 15 pontos.</t>
    </r>
  </si>
  <si>
    <r>
      <t xml:space="preserve">Jogo entre os perdedores das semifinais: </t>
    </r>
    <r>
      <rPr>
        <b/>
        <sz val="13"/>
        <color theme="1"/>
        <rFont val="Aptos"/>
        <family val="2"/>
      </rPr>
      <t>1 Set de 21 pontos.</t>
    </r>
  </si>
  <si>
    <t>GRUPO C</t>
  </si>
  <si>
    <t>RK</t>
  </si>
  <si>
    <t>CÓD</t>
  </si>
  <si>
    <t>A1</t>
  </si>
  <si>
    <t>B1</t>
  </si>
  <si>
    <t>C1</t>
  </si>
  <si>
    <t>A2</t>
  </si>
  <si>
    <t>B2</t>
  </si>
  <si>
    <t>C2</t>
  </si>
  <si>
    <t>A3</t>
  </si>
  <si>
    <t>B3</t>
  </si>
  <si>
    <t>C3</t>
  </si>
  <si>
    <t>A4</t>
  </si>
  <si>
    <t>B4</t>
  </si>
  <si>
    <t>C4</t>
  </si>
  <si>
    <t>PONTUAÇÃO</t>
  </si>
  <si>
    <t>Código</t>
  </si>
  <si>
    <t>C</t>
  </si>
  <si>
    <t>QF</t>
  </si>
  <si>
    <t>SF</t>
  </si>
  <si>
    <t>F1</t>
  </si>
  <si>
    <t>F2</t>
  </si>
  <si>
    <t>CLASSIFICAÇÃO NO GRUPO</t>
  </si>
  <si>
    <t>Distribuição de confrontos nas quartas-de-final</t>
  </si>
  <si>
    <t>Classificação para quartas-de-final</t>
  </si>
  <si>
    <t>Classificação no grupo</t>
  </si>
  <si>
    <r>
      <t xml:space="preserve">Cruzamentos:  </t>
    </r>
    <r>
      <rPr>
        <b/>
        <sz val="13"/>
        <color rgb="FFFF0000"/>
        <rFont val="Aptos"/>
        <family val="2"/>
      </rPr>
      <t xml:space="preserve">(A X B) </t>
    </r>
    <r>
      <rPr>
        <sz val="13"/>
        <rFont val="Aptos"/>
        <family val="2"/>
      </rPr>
      <t>e</t>
    </r>
    <r>
      <rPr>
        <b/>
        <sz val="13"/>
        <color rgb="FF0070C0"/>
        <rFont val="Aptos"/>
        <family val="2"/>
      </rPr>
      <t xml:space="preserve"> (C  X D)</t>
    </r>
    <r>
      <rPr>
        <sz val="13"/>
        <color theme="1"/>
        <rFont val="Aptos"/>
        <family val="2"/>
      </rPr>
      <t>.</t>
    </r>
  </si>
  <si>
    <r>
      <t xml:space="preserve">Cruzamentos:  </t>
    </r>
    <r>
      <rPr>
        <b/>
        <sz val="13"/>
        <color rgb="FFFF0000"/>
        <rFont val="Aptos"/>
        <family val="2"/>
      </rPr>
      <t xml:space="preserve">(A: </t>
    </r>
    <r>
      <rPr>
        <b/>
        <u/>
        <sz val="13"/>
        <color rgb="FFFF0000"/>
        <rFont val="Aptos"/>
        <family val="2"/>
      </rPr>
      <t>1º X 8º</t>
    </r>
    <r>
      <rPr>
        <b/>
        <sz val="13"/>
        <color rgb="FFFF0000"/>
        <rFont val="Aptos"/>
        <family val="2"/>
      </rPr>
      <t xml:space="preserve">) versus (B: </t>
    </r>
    <r>
      <rPr>
        <b/>
        <u/>
        <sz val="13"/>
        <color rgb="FFFF0000"/>
        <rFont val="Aptos"/>
        <family val="2"/>
      </rPr>
      <t>4º X 5º</t>
    </r>
    <r>
      <rPr>
        <b/>
        <sz val="13"/>
        <color rgb="FFFF0000"/>
        <rFont val="Aptos"/>
        <family val="2"/>
      </rPr>
      <t>)</t>
    </r>
    <r>
      <rPr>
        <sz val="13"/>
        <color theme="1"/>
        <rFont val="Aptos"/>
        <family val="2"/>
      </rPr>
      <t xml:space="preserve"> / </t>
    </r>
    <r>
      <rPr>
        <b/>
        <sz val="13"/>
        <color rgb="FF0070C0"/>
        <rFont val="Aptos"/>
        <family val="2"/>
      </rPr>
      <t xml:space="preserve">(C: </t>
    </r>
    <r>
      <rPr>
        <b/>
        <u/>
        <sz val="13"/>
        <color rgb="FF0070C0"/>
        <rFont val="Aptos"/>
        <family val="2"/>
      </rPr>
      <t>2º X 7º</t>
    </r>
    <r>
      <rPr>
        <b/>
        <sz val="13"/>
        <color rgb="FF0070C0"/>
        <rFont val="Aptos"/>
        <family val="2"/>
      </rPr>
      <t xml:space="preserve">) versus (D: </t>
    </r>
    <r>
      <rPr>
        <b/>
        <u/>
        <sz val="13"/>
        <color rgb="FF0070C0"/>
        <rFont val="Aptos"/>
        <family val="2"/>
      </rPr>
      <t>3º X 6º</t>
    </r>
    <r>
      <rPr>
        <b/>
        <sz val="13"/>
        <color rgb="FF0070C0"/>
        <rFont val="Aptos"/>
        <family val="2"/>
      </rPr>
      <t>)</t>
    </r>
    <r>
      <rPr>
        <sz val="13"/>
        <color theme="1"/>
        <rFont val="Aptos"/>
        <family val="2"/>
      </rPr>
      <t>.</t>
    </r>
  </si>
  <si>
    <t>Classificação geral de 1º a 8º lugares,  INDEPENDENTE DA POSIÇÃO DE CLASSIFICAÇÃO NO GRUPO, observando os critérios do item 7.</t>
  </si>
  <si>
    <t>CIRCUITO NCT VÔLEI DE PRAIA - 2025</t>
  </si>
  <si>
    <t>1ª Etapa</t>
  </si>
  <si>
    <t>Camiseta oficial do Circuito NCT Vôlei de Praia 2025.</t>
  </si>
  <si>
    <t>Final 1: disputa pelo 3º lugar</t>
  </si>
  <si>
    <t>Final 2: disputa pelo 1º lugar</t>
  </si>
  <si>
    <t>Fase de grupos</t>
  </si>
  <si>
    <t>RANKING</t>
  </si>
  <si>
    <t>Arena Caffe</t>
  </si>
  <si>
    <t>Rk</t>
  </si>
  <si>
    <t>Atleta</t>
  </si>
  <si>
    <t>Nome Completo</t>
  </si>
  <si>
    <t>Centro de Treinamento</t>
  </si>
  <si>
    <t>UF</t>
  </si>
  <si>
    <t>Total</t>
  </si>
  <si>
    <t>DF</t>
  </si>
  <si>
    <t>sexta-feira</t>
  </si>
  <si>
    <t>Parque da Cidade</t>
  </si>
  <si>
    <t>SUB 17 MASCULINO</t>
  </si>
  <si>
    <t>Sub 17 Masculino</t>
  </si>
  <si>
    <t>JURANDIR JR</t>
  </si>
  <si>
    <t>VICTOR PUTTINI</t>
  </si>
  <si>
    <t>FERNANDO</t>
  </si>
  <si>
    <t>ANDRÉ</t>
  </si>
  <si>
    <t>AUGUSTO</t>
  </si>
  <si>
    <t>MARCELLO</t>
  </si>
  <si>
    <t>JOÃO VITOR</t>
  </si>
  <si>
    <t>NATHAN</t>
  </si>
  <si>
    <t>RYAN</t>
  </si>
  <si>
    <t>VAVO GUERREIRO</t>
  </si>
  <si>
    <t>GUI GERREIRO</t>
  </si>
  <si>
    <t>GREGÓRIO</t>
  </si>
  <si>
    <t>WYTALO</t>
  </si>
  <si>
    <t>BETO</t>
  </si>
  <si>
    <t>JÚLIO</t>
  </si>
  <si>
    <t>CAETANO</t>
  </si>
  <si>
    <t>EMMANUEL</t>
  </si>
  <si>
    <t>KEVIN</t>
  </si>
  <si>
    <t>SHOYO</t>
  </si>
  <si>
    <t>HARLEY</t>
  </si>
  <si>
    <t>GO</t>
  </si>
  <si>
    <t>THIAGO FELIPE</t>
  </si>
  <si>
    <t>CAIO MARLEY</t>
  </si>
  <si>
    <t>DAVID AGUIAR</t>
  </si>
  <si>
    <t>RAPAHEL BESSA</t>
  </si>
  <si>
    <t>JOÃO GUILHERME</t>
  </si>
  <si>
    <t>MATEUS KOTH</t>
  </si>
  <si>
    <t>DAVID MAX</t>
  </si>
  <si>
    <t>HENRICK</t>
  </si>
  <si>
    <t>NILO</t>
  </si>
  <si>
    <t>WALTER</t>
  </si>
  <si>
    <t>PEDRO ALMEIDA</t>
  </si>
  <si>
    <t>VICTOR HUGO</t>
  </si>
  <si>
    <t>DAVI MIRANDA</t>
  </si>
  <si>
    <t>LUIZ THYAGO</t>
  </si>
  <si>
    <t>VINÍCIUS</t>
  </si>
  <si>
    <t>CARLOS VICTOR</t>
  </si>
  <si>
    <t>MIGUEL LOPES</t>
  </si>
  <si>
    <t>DAVI DUTRA 👑</t>
  </si>
  <si>
    <t xml:space="preserve">Murilo Melo Nascimento Bilíbio </t>
  </si>
  <si>
    <t>Gustavo Guerreiro</t>
  </si>
  <si>
    <t>Guilherme Gerreiro</t>
  </si>
  <si>
    <t>Kevin Lima de Souza</t>
  </si>
  <si>
    <t>Daniel Tavares</t>
  </si>
  <si>
    <t>José Davi Lopes Dutra</t>
  </si>
  <si>
    <t>NCT Võlei de Praia</t>
  </si>
  <si>
    <t>JR Integração</t>
  </si>
  <si>
    <t xml:space="preserve">Wytalo Carvalho de Sousa </t>
  </si>
  <si>
    <t>Jurandir Neres Júnior</t>
  </si>
  <si>
    <t xml:space="preserve">Paulo Marcello Aragão Leite </t>
  </si>
  <si>
    <t>SESC</t>
  </si>
  <si>
    <t>João Vitor Lopes de Araujo</t>
  </si>
  <si>
    <t>Mateus Lira da Silva</t>
  </si>
  <si>
    <t>Caetano Rondon</t>
  </si>
  <si>
    <t>Emmanuel Carvalho</t>
  </si>
  <si>
    <t xml:space="preserve">Kauã Rodrigues Ventura </t>
  </si>
  <si>
    <t>André Luiz de Santana Medrado da Silva</t>
  </si>
  <si>
    <t>Fernando Tavares Nunes da Silva</t>
  </si>
  <si>
    <t xml:space="preserve">Augusto Pires </t>
  </si>
  <si>
    <t>José Gregório ferreira dos Santos</t>
  </si>
  <si>
    <t>Nathan Henrique da Silva Dias</t>
  </si>
  <si>
    <t>Ryan Gabriel Dias</t>
  </si>
  <si>
    <t>Roberto César Alves Ferreira</t>
  </si>
  <si>
    <t>Harley Oliveira Rodrigues</t>
  </si>
  <si>
    <t>Júlio Cesar Lopes Marinho</t>
  </si>
  <si>
    <t>Thiago Felipe Araújo Gomes</t>
  </si>
  <si>
    <t>Caio Marley de Andrade Ferreira</t>
  </si>
  <si>
    <t>Felipe Costa Barros</t>
  </si>
  <si>
    <t>Matheus Koth</t>
  </si>
  <si>
    <t>David Miguel Aguiar Silva</t>
  </si>
  <si>
    <t>Pedro de Almeida Pires de Campos</t>
  </si>
  <si>
    <t>Raphael Ribeiro Faitarone Bessa</t>
  </si>
  <si>
    <t>Arthur Pinheiro</t>
  </si>
  <si>
    <t>David Maxwell Gomes de Souza</t>
  </si>
  <si>
    <t>João Guilherme Araújo de Oliveira</t>
  </si>
  <si>
    <t>CT BLOQ</t>
  </si>
  <si>
    <t>Victor Hugo Swiderski Rabelo</t>
  </si>
  <si>
    <t>Carlos Victor Alves de Araújo</t>
  </si>
  <si>
    <t>Crosboll</t>
  </si>
  <si>
    <t>Marista</t>
  </si>
  <si>
    <t>Davi de Miranda Corrêa</t>
  </si>
  <si>
    <t>Luiz Thyago Batista da Silva</t>
  </si>
  <si>
    <t>Henrick Farias Andrade</t>
  </si>
  <si>
    <t>Victor Puttini de Almeida</t>
  </si>
  <si>
    <t>DANI TAVARES 👑</t>
  </si>
  <si>
    <t>Ranking da temporada 2025. Nos casos de empate, prevalecerá a equipe que tiver a maior quantidade de melhores posições. P. ex.: o empate em pontos entre duplas será resolvido a favor da dupla que tem o maior número de 1º lugares, 2º, etc, e assim sucessivamente. Permancendo o empate, haverá sorteio.</t>
  </si>
  <si>
    <t>Modelo de serpentina seguindo ranking 2025.</t>
  </si>
  <si>
    <t>12 duplas (24 atletas).</t>
  </si>
  <si>
    <t>26 partidas.</t>
  </si>
  <si>
    <t>Quantidade de sets*</t>
  </si>
  <si>
    <t>1 Set de 21 pontos.</t>
  </si>
  <si>
    <t xml:space="preserve">Todos contra todos no grupo. </t>
  </si>
  <si>
    <t>Classificam-se os dois primeiros colocados de cada grupo e os dois melhores terceiros colocados nos três grupos.</t>
  </si>
  <si>
    <t>GRUPOS</t>
  </si>
  <si>
    <t>Distribuição pelo ranking no modo serpentina</t>
  </si>
  <si>
    <t>RANKING 2025</t>
  </si>
  <si>
    <t>RANKING DE ENTRADA (DUPLAS) - MASTER 45+</t>
  </si>
  <si>
    <t>INSCRIÇÕES</t>
  </si>
  <si>
    <t>AT 1</t>
  </si>
  <si>
    <t>AT 2</t>
  </si>
  <si>
    <t xml:space="preserve"> </t>
  </si>
  <si>
    <t>V J 19</t>
  </si>
  <si>
    <t>V J 20</t>
  </si>
  <si>
    <t>V J 21</t>
  </si>
  <si>
    <t>V J 22</t>
  </si>
  <si>
    <t>P J 23</t>
  </si>
  <si>
    <t>P J 24</t>
  </si>
  <si>
    <t>V J 23</t>
  </si>
  <si>
    <t>V J 24</t>
  </si>
  <si>
    <t>RASCUNHO</t>
  </si>
  <si>
    <t>SUB 17 Masculino</t>
  </si>
  <si>
    <t>13h30, em 3 (três) quadras.</t>
  </si>
  <si>
    <t/>
  </si>
  <si>
    <t>:</t>
  </si>
  <si>
    <t>Vamo Beach</t>
  </si>
  <si>
    <t>FELIPE RAMALHO</t>
  </si>
  <si>
    <t>LUCAS MENDES</t>
  </si>
  <si>
    <t>RAFAEL MOTTA</t>
  </si>
  <si>
    <t>Theo Martins Holanda</t>
  </si>
  <si>
    <t>Felipe Ramalho de Souza</t>
  </si>
  <si>
    <t>Cid Gama</t>
  </si>
  <si>
    <t>Rafael Ortiz Motta</t>
  </si>
  <si>
    <t>Lucas Bandeira Mendes</t>
  </si>
  <si>
    <t>APCEF</t>
  </si>
  <si>
    <t>MURILO MELO</t>
  </si>
  <si>
    <t>4ª ETAPA - ARENA 61</t>
  </si>
  <si>
    <t>1º de agosto de 2025 - sexta-feira</t>
  </si>
  <si>
    <t>4ª Etapa</t>
  </si>
  <si>
    <t>Arena 61</t>
  </si>
  <si>
    <t>1º/08/2025</t>
  </si>
  <si>
    <t>ANDRI/JOAQUIM</t>
  </si>
  <si>
    <t>VICTOR PUTTINI/JURANDIR JR</t>
  </si>
  <si>
    <t>LUCAS MENDES/FELIPE ROSSI</t>
  </si>
  <si>
    <t>LEONARDO/MARCUS VINÍCIUS</t>
  </si>
  <si>
    <t>VINÍCIUS ALMEIDA/GUI RODRIGUES</t>
  </si>
  <si>
    <t>THIAGO FELIPE/MURILO ALVES</t>
  </si>
  <si>
    <t>JOÃO GUILHERME/FELIPE BAPTISTA</t>
  </si>
  <si>
    <t>CAIO MARLEY/VAVO GUERREIRO</t>
  </si>
  <si>
    <t>MATEUS LIRA/AUGUSTO</t>
  </si>
  <si>
    <t>MATEUS LIRA</t>
  </si>
  <si>
    <t>ENZO ALEXANDRE/ARTHUR AURÉLIO</t>
  </si>
  <si>
    <t>ARTHUR BRABO</t>
  </si>
  <si>
    <t>FELIPE COSTA</t>
  </si>
  <si>
    <t>FELIPE COSTA/RAPHAEL BESSA</t>
  </si>
  <si>
    <t>Venc J 19</t>
  </si>
  <si>
    <t>Venc J 20</t>
  </si>
  <si>
    <t>Nilo Henrique De Siqueira Rodrigues</t>
  </si>
  <si>
    <t>Walter Luiz Ramos Júnior</t>
  </si>
  <si>
    <t>Vinícius Silva De Araújo</t>
  </si>
  <si>
    <t>GUI GERREIRO/THEO PEREIRA</t>
  </si>
  <si>
    <t>THEO MARTINS</t>
  </si>
  <si>
    <t>460 + 280 = 740</t>
  </si>
  <si>
    <t>340 + 160 = 500</t>
  </si>
  <si>
    <t>340 + 140 = 480</t>
  </si>
  <si>
    <t>240 + 220 = 460</t>
  </si>
  <si>
    <t>280+ 0 = 280</t>
  </si>
  <si>
    <t>260 + 0 = 260</t>
  </si>
  <si>
    <t>220 = 0 = 220</t>
  </si>
  <si>
    <t>100 + 0 = 100</t>
  </si>
  <si>
    <t>Arena 61 - localiação enviada no grupo de Whatsapp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</si>
</sst>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h:mm;@"/>
  </numFmts>
  <fonts count="52" x14ac:knownFonts="1">
    <font>
      <sz val="11"/>
      <color theme="1"/>
      <name val="Calibri"/>
      <family val="2"/>
      <scheme val="minor"/>
    </font>
    <font>
      <sz val="11"/>
      <color theme="1"/>
      <name val="Calibri"/>
      <family val="2"/>
      <scheme val="minor"/>
    </font>
    <font>
      <b/>
      <sz val="11"/>
      <color theme="1"/>
      <name val="Calibri"/>
      <family val="2"/>
      <scheme val="minor"/>
    </font>
    <font>
      <b/>
      <sz val="12"/>
      <color theme="0"/>
      <name val="Arial"/>
      <family val="2"/>
    </font>
    <font>
      <b/>
      <sz val="12"/>
      <color theme="1"/>
      <name val="Calibri"/>
      <family val="2"/>
      <scheme val="minor"/>
    </font>
    <font>
      <b/>
      <sz val="22"/>
      <name val="Aptos"/>
      <family val="2"/>
    </font>
    <font>
      <b/>
      <sz val="18"/>
      <color theme="1"/>
      <name val="Aptos"/>
      <family val="2"/>
    </font>
    <font>
      <b/>
      <sz val="14"/>
      <color theme="1"/>
      <name val="Aptos"/>
      <family val="2"/>
    </font>
    <font>
      <sz val="13"/>
      <color theme="1"/>
      <name val="Aptos"/>
      <family val="2"/>
    </font>
    <font>
      <b/>
      <sz val="13"/>
      <color theme="1"/>
      <name val="Aptos"/>
      <family val="2"/>
    </font>
    <font>
      <b/>
      <sz val="13"/>
      <color rgb="FFFF0000"/>
      <name val="Aptos"/>
      <family val="2"/>
    </font>
    <font>
      <b/>
      <sz val="13"/>
      <color rgb="FF0070C0"/>
      <name val="Aptos"/>
      <family val="2"/>
    </font>
    <font>
      <b/>
      <i/>
      <sz val="13"/>
      <color theme="1"/>
      <name val="Aptos"/>
      <family val="2"/>
    </font>
    <font>
      <b/>
      <sz val="12"/>
      <color rgb="FFFF0000"/>
      <name val="Calibri"/>
      <family val="2"/>
      <scheme val="minor"/>
    </font>
    <font>
      <sz val="13"/>
      <name val="Aptos"/>
      <family val="2"/>
    </font>
    <font>
      <b/>
      <u/>
      <sz val="13"/>
      <color rgb="FFFF0000"/>
      <name val="Aptos"/>
      <family val="2"/>
    </font>
    <font>
      <b/>
      <u/>
      <sz val="13"/>
      <color rgb="FF0070C0"/>
      <name val="Aptos"/>
      <family val="2"/>
    </font>
    <font>
      <b/>
      <sz val="16"/>
      <color theme="1"/>
      <name val="Aptos"/>
      <family val="2"/>
    </font>
    <font>
      <sz val="11"/>
      <color theme="1"/>
      <name val="Aptos"/>
      <family val="2"/>
    </font>
    <font>
      <b/>
      <sz val="10"/>
      <color theme="1"/>
      <name val="Aptos"/>
      <family val="2"/>
    </font>
    <font>
      <b/>
      <sz val="12"/>
      <color theme="1"/>
      <name val="Aptos"/>
      <family val="2"/>
    </font>
    <font>
      <sz val="12"/>
      <color rgb="FF000000"/>
      <name val="Aptos"/>
      <family val="2"/>
    </font>
    <font>
      <sz val="12"/>
      <color theme="1"/>
      <name val="Aptos"/>
      <family val="2"/>
    </font>
    <font>
      <b/>
      <sz val="20"/>
      <name val="Aptos"/>
      <family val="2"/>
    </font>
    <font>
      <b/>
      <sz val="11"/>
      <color theme="1"/>
      <name val="Aptos"/>
      <family val="2"/>
    </font>
    <font>
      <b/>
      <sz val="12"/>
      <color rgb="FF000000"/>
      <name val="Aptos"/>
      <family val="2"/>
    </font>
    <font>
      <b/>
      <sz val="12"/>
      <name val="Aptos"/>
      <family val="2"/>
    </font>
    <font>
      <b/>
      <sz val="26"/>
      <name val="Aptos"/>
      <family val="2"/>
    </font>
    <font>
      <b/>
      <sz val="24"/>
      <color theme="0"/>
      <name val="Aptos"/>
      <family val="2"/>
    </font>
    <font>
      <b/>
      <sz val="15"/>
      <color theme="1"/>
      <name val="Aptos"/>
      <family val="2"/>
    </font>
    <font>
      <b/>
      <sz val="22"/>
      <color theme="0"/>
      <name val="Aptos"/>
      <family val="2"/>
    </font>
    <font>
      <sz val="8"/>
      <color rgb="FF000000"/>
      <name val="Arial"/>
      <family val="2"/>
    </font>
    <font>
      <b/>
      <sz val="24"/>
      <name val="Aptos"/>
      <family val="2"/>
    </font>
    <font>
      <b/>
      <sz val="20"/>
      <color theme="0"/>
      <name val="Aptos"/>
      <family val="2"/>
    </font>
    <font>
      <b/>
      <sz val="14"/>
      <color theme="0"/>
      <name val="Aptos"/>
      <family val="2"/>
    </font>
    <font>
      <b/>
      <sz val="18"/>
      <color theme="0"/>
      <name val="Aptos"/>
      <family val="2"/>
    </font>
    <font>
      <b/>
      <sz val="16"/>
      <color rgb="FF000000"/>
      <name val="Aptos"/>
      <family val="2"/>
    </font>
    <font>
      <b/>
      <sz val="22"/>
      <color theme="0"/>
      <name val="Arial"/>
      <family val="2"/>
    </font>
    <font>
      <b/>
      <sz val="24"/>
      <name val="Calibri"/>
      <family val="2"/>
      <scheme val="minor"/>
    </font>
    <font>
      <b/>
      <sz val="20"/>
      <color theme="0"/>
      <name val="Calibri"/>
      <family val="2"/>
      <scheme val="minor"/>
    </font>
    <font>
      <b/>
      <sz val="18"/>
      <color theme="1"/>
      <name val="Calibri"/>
      <family val="2"/>
      <scheme val="minor"/>
    </font>
    <font>
      <b/>
      <sz val="10"/>
      <color theme="1"/>
      <name val="Calibri"/>
      <family val="2"/>
      <scheme val="minor"/>
    </font>
    <font>
      <b/>
      <sz val="12"/>
      <color rgb="FF000000"/>
      <name val="Arial"/>
      <family val="2"/>
    </font>
    <font>
      <b/>
      <sz val="14"/>
      <color theme="1"/>
      <name val="Calibri"/>
      <family val="2"/>
      <scheme val="minor"/>
    </font>
    <font>
      <b/>
      <sz val="11"/>
      <color rgb="FFFFFF00"/>
      <name val="Calibri"/>
      <family val="2"/>
      <scheme val="minor"/>
    </font>
    <font>
      <sz val="24"/>
      <color theme="1"/>
      <name val="Calibri"/>
      <family val="2"/>
      <scheme val="minor"/>
    </font>
    <font>
      <b/>
      <sz val="22"/>
      <color theme="1"/>
      <name val="Aptos"/>
      <family val="2"/>
    </font>
    <font>
      <b/>
      <sz val="22"/>
      <name val="Calibri"/>
      <family val="2"/>
      <scheme val="minor"/>
    </font>
    <font>
      <b/>
      <sz val="14"/>
      <name val="Calibri"/>
      <family val="2"/>
      <scheme val="minor"/>
    </font>
    <font>
      <b/>
      <sz val="11"/>
      <name val="Calibri"/>
      <family val="2"/>
      <scheme val="minor"/>
    </font>
    <font>
      <b/>
      <sz val="22"/>
      <color rgb="FF002060"/>
      <name val="Aptos"/>
      <family val="2"/>
    </font>
    <font>
      <b/>
      <sz val="14"/>
      <color rgb="FF002060"/>
      <name val="Aptos"/>
      <family val="2"/>
    </font>
  </fonts>
  <fills count="15">
    <fill>
      <patternFill patternType="none"/>
    </fill>
    <fill>
      <patternFill patternType="gray125"/>
    </fill>
    <fill>
      <patternFill patternType="solid">
        <fgColor rgb="FFFFFF00"/>
        <bgColor indexed="64"/>
      </patternFill>
    </fill>
    <fill>
      <patternFill patternType="solid">
        <fgColor rgb="FF002060"/>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rgb="FF00B0F0"/>
        <bgColor indexed="64"/>
      </patternFill>
    </fill>
    <fill>
      <patternFill patternType="solid">
        <fgColor theme="4" tint="0.59999389629810485"/>
        <bgColor indexed="64"/>
      </patternFill>
    </fill>
    <fill>
      <patternFill patternType="solid">
        <fgColor theme="1"/>
        <bgColor indexed="64"/>
      </patternFill>
    </fill>
    <fill>
      <patternFill patternType="solid">
        <fgColor rgb="FFFFC000"/>
        <bgColor indexed="64"/>
      </patternFill>
    </fill>
  </fills>
  <borders count="61">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double">
        <color rgb="FF0033CC"/>
      </left>
      <right style="double">
        <color rgb="FF0033CC"/>
      </right>
      <top style="double">
        <color rgb="FF0033CC"/>
      </top>
      <bottom style="double">
        <color rgb="FF0033CC"/>
      </bottom>
      <diagonal/>
    </border>
    <border>
      <left style="double">
        <color rgb="FF0070C0"/>
      </left>
      <right/>
      <top style="double">
        <color rgb="FF0070C0"/>
      </top>
      <bottom/>
      <diagonal/>
    </border>
    <border>
      <left/>
      <right/>
      <top style="double">
        <color rgb="FF0070C0"/>
      </top>
      <bottom/>
      <diagonal/>
    </border>
    <border>
      <left/>
      <right style="double">
        <color rgb="FF0070C0"/>
      </right>
      <top style="double">
        <color rgb="FF0070C0"/>
      </top>
      <bottom/>
      <diagonal/>
    </border>
    <border>
      <left style="double">
        <color rgb="FF0070C0"/>
      </left>
      <right/>
      <top/>
      <bottom/>
      <diagonal/>
    </border>
    <border>
      <left/>
      <right style="double">
        <color rgb="FF0070C0"/>
      </right>
      <top/>
      <bottom/>
      <diagonal/>
    </border>
    <border>
      <left style="double">
        <color rgb="FF0070C0"/>
      </left>
      <right/>
      <top/>
      <bottom style="double">
        <color rgb="FF0070C0"/>
      </bottom>
      <diagonal/>
    </border>
    <border>
      <left/>
      <right/>
      <top/>
      <bottom style="double">
        <color rgb="FF0070C0"/>
      </bottom>
      <diagonal/>
    </border>
    <border>
      <left/>
      <right style="double">
        <color rgb="FF0070C0"/>
      </right>
      <top/>
      <bottom style="double">
        <color rgb="FF0070C0"/>
      </bottom>
      <diagonal/>
    </border>
    <border>
      <left style="double">
        <color rgb="FF0033CC"/>
      </left>
      <right style="double">
        <color rgb="FF0033CC"/>
      </right>
      <top style="double">
        <color rgb="FF0033CC"/>
      </top>
      <bottom/>
      <diagonal/>
    </border>
    <border>
      <left style="double">
        <color rgb="FF0033CC"/>
      </left>
      <right style="double">
        <color rgb="FF0033CC"/>
      </right>
      <top/>
      <bottom style="double">
        <color rgb="FF0033CC"/>
      </bottom>
      <diagonal/>
    </border>
    <border>
      <left style="double">
        <color rgb="FF0033CC"/>
      </left>
      <right style="double">
        <color rgb="FF0033CC"/>
      </right>
      <top/>
      <bottom/>
      <diagonal/>
    </border>
    <border>
      <left style="thin">
        <color indexed="64"/>
      </left>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bottom/>
      <diagonal/>
    </border>
  </borders>
  <cellStyleXfs count="2">
    <xf numFmtId="0" fontId="0" fillId="0" borderId="0"/>
    <xf numFmtId="43" fontId="1" fillId="0" borderId="0" applyFont="0" applyFill="0" applyBorder="0" applyAlignment="0" applyProtection="0"/>
  </cellStyleXfs>
  <cellXfs count="398">
    <xf numFmtId="0" fontId="0" fillId="0" borderId="0" xfId="0"/>
    <xf numFmtId="0" fontId="0" fillId="0" borderId="0" xfId="0" applyAlignment="1">
      <alignment horizontal="center"/>
    </xf>
    <xf numFmtId="0" fontId="0" fillId="4" borderId="0" xfId="0" applyFill="1"/>
    <xf numFmtId="0" fontId="8" fillId="0" borderId="17" xfId="0" applyFont="1" applyBorder="1" applyAlignment="1">
      <alignment horizontal="center" vertical="center"/>
    </xf>
    <xf numFmtId="0" fontId="9" fillId="0" borderId="13" xfId="0" applyFont="1" applyBorder="1" applyAlignment="1">
      <alignment vertical="center" wrapText="1"/>
    </xf>
    <xf numFmtId="0" fontId="8" fillId="4" borderId="17" xfId="0" applyFont="1" applyFill="1" applyBorder="1" applyAlignment="1">
      <alignment horizontal="center" vertical="center"/>
    </xf>
    <xf numFmtId="0" fontId="9" fillId="4" borderId="13" xfId="0" applyFont="1" applyFill="1" applyBorder="1" applyAlignment="1">
      <alignment vertical="center" wrapText="1"/>
    </xf>
    <xf numFmtId="0" fontId="8" fillId="0" borderId="18" xfId="0" applyFont="1" applyBorder="1" applyAlignment="1">
      <alignment horizontal="center" vertical="center"/>
    </xf>
    <xf numFmtId="0" fontId="9" fillId="0" borderId="13" xfId="0" applyFont="1" applyBorder="1" applyAlignment="1">
      <alignment vertical="center"/>
    </xf>
    <xf numFmtId="0" fontId="9" fillId="4" borderId="13" xfId="0" applyFont="1" applyFill="1" applyBorder="1" applyAlignment="1">
      <alignment horizontal="left" vertical="center" wrapText="1"/>
    </xf>
    <xf numFmtId="0" fontId="9" fillId="0" borderId="13" xfId="0" applyFont="1" applyBorder="1" applyAlignment="1">
      <alignment horizontal="left" vertical="center" wrapText="1"/>
    </xf>
    <xf numFmtId="0" fontId="7" fillId="5" borderId="31" xfId="0" applyFont="1" applyFill="1" applyBorder="1" applyAlignment="1">
      <alignment horizontal="center" vertical="center"/>
    </xf>
    <xf numFmtId="0" fontId="7" fillId="5" borderId="34" xfId="0" applyFont="1" applyFill="1" applyBorder="1" applyAlignment="1">
      <alignment horizontal="center" vertical="center"/>
    </xf>
    <xf numFmtId="0" fontId="7" fillId="5" borderId="33" xfId="0" applyFont="1" applyFill="1" applyBorder="1" applyAlignment="1">
      <alignment horizontal="center" vertical="center"/>
    </xf>
    <xf numFmtId="0" fontId="9" fillId="4" borderId="13" xfId="0" applyFont="1" applyFill="1" applyBorder="1" applyAlignment="1">
      <alignment vertical="center"/>
    </xf>
    <xf numFmtId="0" fontId="8" fillId="4" borderId="18" xfId="0" applyFont="1" applyFill="1" applyBorder="1" applyAlignment="1">
      <alignment horizontal="center" vertical="center"/>
    </xf>
    <xf numFmtId="0" fontId="8" fillId="0" borderId="19" xfId="0" applyFont="1" applyBorder="1" applyAlignment="1">
      <alignment horizontal="center" vertical="center"/>
    </xf>
    <xf numFmtId="0" fontId="9" fillId="0" borderId="20" xfId="0" applyFont="1" applyBorder="1" applyAlignment="1">
      <alignment horizontal="left" vertical="center"/>
    </xf>
    <xf numFmtId="49" fontId="21" fillId="0" borderId="2" xfId="0" applyNumberFormat="1" applyFont="1" applyBorder="1" applyAlignment="1">
      <alignment horizontal="center" vertical="center"/>
    </xf>
    <xf numFmtId="1" fontId="21" fillId="0" borderId="14" xfId="0" applyNumberFormat="1" applyFont="1" applyBorder="1" applyAlignment="1">
      <alignment horizontal="center" vertical="center"/>
    </xf>
    <xf numFmtId="49" fontId="21" fillId="4" borderId="15" xfId="0" applyNumberFormat="1" applyFont="1" applyFill="1" applyBorder="1" applyAlignment="1">
      <alignment horizontal="center" vertical="center"/>
    </xf>
    <xf numFmtId="0" fontId="22" fillId="4" borderId="15" xfId="0" applyFont="1" applyFill="1" applyBorder="1" applyAlignment="1">
      <alignment horizontal="center" vertical="center"/>
    </xf>
    <xf numFmtId="1" fontId="21" fillId="0" borderId="16" xfId="0" applyNumberFormat="1" applyFont="1" applyBorder="1" applyAlignment="1">
      <alignment horizontal="center" vertical="center"/>
    </xf>
    <xf numFmtId="1" fontId="21" fillId="4" borderId="17" xfId="0" applyNumberFormat="1" applyFont="1" applyFill="1" applyBorder="1" applyAlignment="1">
      <alignment horizontal="center" vertical="center"/>
    </xf>
    <xf numFmtId="49" fontId="21" fillId="4" borderId="13" xfId="0" applyNumberFormat="1" applyFont="1" applyFill="1" applyBorder="1" applyAlignment="1">
      <alignment horizontal="center" vertical="center"/>
    </xf>
    <xf numFmtId="0" fontId="22" fillId="4" borderId="13" xfId="0" applyFont="1" applyFill="1" applyBorder="1" applyAlignment="1">
      <alignment horizontal="center" vertical="center"/>
    </xf>
    <xf numFmtId="0" fontId="22" fillId="4" borderId="18" xfId="0" applyFont="1" applyFill="1" applyBorder="1" applyAlignment="1">
      <alignment horizontal="center" vertical="center"/>
    </xf>
    <xf numFmtId="1" fontId="21" fillId="0" borderId="19" xfId="0" applyNumberFormat="1" applyFont="1" applyBorder="1" applyAlignment="1">
      <alignment horizontal="center" vertical="center"/>
    </xf>
    <xf numFmtId="49" fontId="21" fillId="4" borderId="20" xfId="0" applyNumberFormat="1" applyFont="1" applyFill="1" applyBorder="1" applyAlignment="1">
      <alignment horizontal="center" vertical="center"/>
    </xf>
    <xf numFmtId="0" fontId="22" fillId="4" borderId="20" xfId="0" applyFont="1" applyFill="1" applyBorder="1" applyAlignment="1">
      <alignment horizontal="center" vertical="center"/>
    </xf>
    <xf numFmtId="1" fontId="21" fillId="4" borderId="14" xfId="0" applyNumberFormat="1" applyFont="1" applyFill="1" applyBorder="1" applyAlignment="1">
      <alignment horizontal="center" vertical="center"/>
    </xf>
    <xf numFmtId="0" fontId="22" fillId="4" borderId="16" xfId="0" applyFont="1" applyFill="1" applyBorder="1" applyAlignment="1">
      <alignment horizontal="center" vertical="center"/>
    </xf>
    <xf numFmtId="1" fontId="21" fillId="4" borderId="19" xfId="0" applyNumberFormat="1" applyFont="1" applyFill="1" applyBorder="1" applyAlignment="1">
      <alignment horizontal="center" vertical="center"/>
    </xf>
    <xf numFmtId="0" fontId="22" fillId="4" borderId="21" xfId="0" applyFont="1" applyFill="1" applyBorder="1" applyAlignment="1">
      <alignment horizontal="center" vertical="center"/>
    </xf>
    <xf numFmtId="49" fontId="21" fillId="0" borderId="15" xfId="0" applyNumberFormat="1" applyFont="1" applyBorder="1" applyAlignment="1">
      <alignment horizontal="center" vertical="center"/>
    </xf>
    <xf numFmtId="1" fontId="21" fillId="0" borderId="17" xfId="0" applyNumberFormat="1" applyFont="1" applyBorder="1" applyAlignment="1">
      <alignment horizontal="center" vertical="center"/>
    </xf>
    <xf numFmtId="49" fontId="21" fillId="0" borderId="13" xfId="0" applyNumberFormat="1" applyFont="1" applyBorder="1" applyAlignment="1">
      <alignment horizontal="center" vertical="center"/>
    </xf>
    <xf numFmtId="49" fontId="21" fillId="0" borderId="20" xfId="0" applyNumberFormat="1" applyFont="1" applyBorder="1" applyAlignment="1">
      <alignment horizontal="center" vertical="center"/>
    </xf>
    <xf numFmtId="1" fontId="21" fillId="0" borderId="1" xfId="0" applyNumberFormat="1" applyFont="1" applyBorder="1" applyAlignment="1">
      <alignment horizontal="center" vertical="center"/>
    </xf>
    <xf numFmtId="0" fontId="22" fillId="4" borderId="2" xfId="0" applyFont="1" applyFill="1" applyBorder="1" applyAlignment="1">
      <alignment horizontal="center" vertical="center"/>
    </xf>
    <xf numFmtId="49" fontId="21" fillId="0" borderId="34" xfId="0" applyNumberFormat="1" applyFont="1" applyBorder="1" applyAlignment="1">
      <alignment horizontal="center" vertical="center"/>
    </xf>
    <xf numFmtId="49" fontId="21" fillId="0" borderId="31" xfId="0" applyNumberFormat="1" applyFont="1" applyBorder="1" applyAlignment="1">
      <alignment horizontal="center" vertical="center"/>
    </xf>
    <xf numFmtId="49" fontId="21" fillId="0" borderId="33" xfId="0" applyNumberFormat="1" applyFont="1" applyBorder="1" applyAlignment="1">
      <alignment horizontal="center" vertical="center"/>
    </xf>
    <xf numFmtId="1" fontId="21" fillId="0" borderId="15" xfId="0" applyNumberFormat="1" applyFont="1" applyBorder="1" applyAlignment="1">
      <alignment horizontal="center" vertical="center"/>
    </xf>
    <xf numFmtId="0" fontId="19" fillId="10" borderId="15" xfId="0" applyFont="1" applyFill="1" applyBorder="1" applyAlignment="1">
      <alignment horizontal="center" vertical="center"/>
    </xf>
    <xf numFmtId="0" fontId="20" fillId="4" borderId="15" xfId="0" applyFont="1" applyFill="1" applyBorder="1" applyAlignment="1">
      <alignment horizontal="left" vertical="center" indent="1"/>
    </xf>
    <xf numFmtId="0" fontId="19" fillId="10" borderId="16" xfId="0" applyFont="1" applyFill="1" applyBorder="1" applyAlignment="1">
      <alignment horizontal="center" vertical="center"/>
    </xf>
    <xf numFmtId="0" fontId="19" fillId="10" borderId="18" xfId="0" applyFont="1" applyFill="1" applyBorder="1" applyAlignment="1">
      <alignment horizontal="center" vertical="center"/>
    </xf>
    <xf numFmtId="0" fontId="19" fillId="10" borderId="20" xfId="0" applyFont="1" applyFill="1" applyBorder="1" applyAlignment="1">
      <alignment horizontal="center" vertical="center"/>
    </xf>
    <xf numFmtId="0" fontId="20" fillId="4" borderId="20" xfId="0" applyFont="1" applyFill="1" applyBorder="1" applyAlignment="1">
      <alignment horizontal="left" vertical="center" indent="1"/>
    </xf>
    <xf numFmtId="0" fontId="19" fillId="10" borderId="21" xfId="0" applyFont="1" applyFill="1" applyBorder="1" applyAlignment="1">
      <alignment horizontal="center" vertical="center"/>
    </xf>
    <xf numFmtId="0" fontId="21" fillId="4" borderId="42" xfId="0" applyFont="1" applyFill="1" applyBorder="1" applyAlignment="1">
      <alignment horizontal="center" vertical="center" wrapText="1"/>
    </xf>
    <xf numFmtId="0" fontId="21" fillId="4" borderId="42" xfId="0" applyFont="1" applyFill="1" applyBorder="1" applyAlignment="1">
      <alignment horizontal="left" vertical="center" wrapText="1" indent="1"/>
    </xf>
    <xf numFmtId="0" fontId="25" fillId="4" borderId="42" xfId="0" applyFont="1" applyFill="1" applyBorder="1" applyAlignment="1">
      <alignment horizontal="center" vertical="center" wrapText="1"/>
    </xf>
    <xf numFmtId="0" fontId="21" fillId="10" borderId="42" xfId="0" applyFont="1" applyFill="1" applyBorder="1" applyAlignment="1">
      <alignment horizontal="center" vertical="center" wrapText="1"/>
    </xf>
    <xf numFmtId="0" fontId="21" fillId="10" borderId="42" xfId="0" applyFont="1" applyFill="1" applyBorder="1" applyAlignment="1">
      <alignment horizontal="left" vertical="center" wrapText="1" indent="1"/>
    </xf>
    <xf numFmtId="0" fontId="25" fillId="10" borderId="42" xfId="0" applyFont="1" applyFill="1" applyBorder="1" applyAlignment="1">
      <alignment horizontal="center" vertical="center" wrapText="1"/>
    </xf>
    <xf numFmtId="0" fontId="2" fillId="4" borderId="13" xfId="0" applyFont="1" applyFill="1" applyBorder="1" applyAlignment="1">
      <alignment horizontal="left" vertical="center"/>
    </xf>
    <xf numFmtId="0" fontId="2" fillId="4" borderId="13" xfId="0" applyFont="1" applyFill="1" applyBorder="1" applyAlignment="1">
      <alignment horizontal="center" vertical="center"/>
    </xf>
    <xf numFmtId="0" fontId="0" fillId="4" borderId="13" xfId="0" applyFill="1" applyBorder="1" applyAlignment="1">
      <alignment horizontal="center" vertical="center"/>
    </xf>
    <xf numFmtId="0" fontId="26" fillId="11" borderId="42" xfId="0" applyFont="1" applyFill="1" applyBorder="1" applyAlignment="1">
      <alignment horizontal="center" vertical="center" wrapText="1"/>
    </xf>
    <xf numFmtId="0" fontId="22" fillId="4" borderId="42" xfId="0" applyFont="1" applyFill="1" applyBorder="1" applyAlignment="1">
      <alignment horizontal="left" vertical="center" indent="1"/>
    </xf>
    <xf numFmtId="14" fontId="21" fillId="4" borderId="42" xfId="0" applyNumberFormat="1" applyFont="1" applyFill="1" applyBorder="1" applyAlignment="1">
      <alignment horizontal="center" vertical="center" wrapText="1"/>
    </xf>
    <xf numFmtId="49" fontId="29" fillId="4" borderId="37" xfId="0" applyNumberFormat="1" applyFont="1" applyFill="1" applyBorder="1" applyAlignment="1">
      <alignment horizontal="center" vertical="center" wrapText="1"/>
    </xf>
    <xf numFmtId="49" fontId="29" fillId="7" borderId="37" xfId="0" applyNumberFormat="1" applyFont="1" applyFill="1" applyBorder="1" applyAlignment="1">
      <alignment horizontal="center" vertical="center" wrapText="1"/>
    </xf>
    <xf numFmtId="0" fontId="8" fillId="0" borderId="14" xfId="0" applyFont="1" applyBorder="1" applyAlignment="1">
      <alignment horizontal="center" vertical="center"/>
    </xf>
    <xf numFmtId="0" fontId="9" fillId="0" borderId="15" xfId="0" applyFont="1" applyBorder="1" applyAlignment="1">
      <alignment vertical="center"/>
    </xf>
    <xf numFmtId="0" fontId="20" fillId="5" borderId="14" xfId="0" applyFont="1" applyFill="1" applyBorder="1" applyAlignment="1">
      <alignment horizontal="center" vertical="center"/>
    </xf>
    <xf numFmtId="0" fontId="20" fillId="5" borderId="15" xfId="0" applyFont="1" applyFill="1" applyBorder="1" applyAlignment="1">
      <alignment horizontal="center" vertical="center"/>
    </xf>
    <xf numFmtId="0" fontId="20" fillId="5" borderId="16" xfId="0" applyFont="1" applyFill="1" applyBorder="1" applyAlignment="1">
      <alignment horizontal="center" vertical="center"/>
    </xf>
    <xf numFmtId="0" fontId="22" fillId="4" borderId="17" xfId="0" applyFont="1" applyFill="1" applyBorder="1" applyAlignment="1">
      <alignment horizontal="center" vertical="center"/>
    </xf>
    <xf numFmtId="49" fontId="20" fillId="4" borderId="13" xfId="0" applyNumberFormat="1" applyFont="1" applyFill="1" applyBorder="1" applyAlignment="1">
      <alignment horizontal="left" vertical="center"/>
    </xf>
    <xf numFmtId="49" fontId="20" fillId="8" borderId="18" xfId="0" applyNumberFormat="1" applyFont="1" applyFill="1" applyBorder="1" applyAlignment="1">
      <alignment horizontal="center" vertical="center"/>
    </xf>
    <xf numFmtId="49" fontId="20" fillId="4" borderId="18" xfId="0" applyNumberFormat="1" applyFont="1" applyFill="1" applyBorder="1" applyAlignment="1">
      <alignment horizontal="left" vertical="center"/>
    </xf>
    <xf numFmtId="49" fontId="20" fillId="2" borderId="18" xfId="0" applyNumberFormat="1" applyFont="1" applyFill="1" applyBorder="1" applyAlignment="1">
      <alignment horizontal="center" vertical="center"/>
    </xf>
    <xf numFmtId="49" fontId="20" fillId="9" borderId="18" xfId="0" applyNumberFormat="1" applyFont="1" applyFill="1" applyBorder="1" applyAlignment="1">
      <alignment horizontal="center" vertical="center"/>
    </xf>
    <xf numFmtId="1" fontId="20" fillId="4" borderId="13" xfId="0" applyNumberFormat="1" applyFont="1" applyFill="1" applyBorder="1" applyAlignment="1">
      <alignment horizontal="left" vertical="center"/>
    </xf>
    <xf numFmtId="1" fontId="20" fillId="4" borderId="18" xfId="0" applyNumberFormat="1" applyFont="1" applyFill="1" applyBorder="1" applyAlignment="1">
      <alignment horizontal="left" vertical="center"/>
    </xf>
    <xf numFmtId="0" fontId="22" fillId="4" borderId="19" xfId="0" applyFont="1" applyFill="1" applyBorder="1" applyAlignment="1">
      <alignment horizontal="center" vertical="center"/>
    </xf>
    <xf numFmtId="1" fontId="20" fillId="4" borderId="20" xfId="0" applyNumberFormat="1" applyFont="1" applyFill="1" applyBorder="1" applyAlignment="1">
      <alignment horizontal="left" vertical="center"/>
    </xf>
    <xf numFmtId="49" fontId="20" fillId="8" borderId="21" xfId="0" applyNumberFormat="1" applyFont="1" applyFill="1" applyBorder="1" applyAlignment="1">
      <alignment horizontal="center" vertical="center"/>
    </xf>
    <xf numFmtId="1" fontId="20" fillId="4" borderId="21" xfId="0" applyNumberFormat="1" applyFont="1" applyFill="1" applyBorder="1" applyAlignment="1">
      <alignment horizontal="left" vertical="center"/>
    </xf>
    <xf numFmtId="49" fontId="20" fillId="2" borderId="21" xfId="0" applyNumberFormat="1" applyFont="1" applyFill="1" applyBorder="1" applyAlignment="1">
      <alignment horizontal="center" vertical="center"/>
    </xf>
    <xf numFmtId="49" fontId="20" fillId="9" borderId="21" xfId="0" applyNumberFormat="1" applyFont="1" applyFill="1" applyBorder="1" applyAlignment="1">
      <alignment horizontal="center" vertical="center"/>
    </xf>
    <xf numFmtId="0" fontId="20" fillId="5" borderId="1" xfId="0" applyFont="1" applyFill="1" applyBorder="1" applyAlignment="1">
      <alignment horizontal="center" vertical="center"/>
    </xf>
    <xf numFmtId="0" fontId="20" fillId="5" borderId="37" xfId="0" applyFont="1" applyFill="1" applyBorder="1" applyAlignment="1">
      <alignment horizontal="center" vertical="center"/>
    </xf>
    <xf numFmtId="0" fontId="4" fillId="5" borderId="2" xfId="0" applyFont="1" applyFill="1" applyBorder="1" applyAlignment="1">
      <alignment horizontal="center" vertical="center"/>
    </xf>
    <xf numFmtId="0" fontId="4" fillId="2" borderId="3" xfId="0" applyFont="1" applyFill="1" applyBorder="1" applyAlignment="1">
      <alignment horizontal="center" vertical="center"/>
    </xf>
    <xf numFmtId="0" fontId="22" fillId="4" borderId="14" xfId="0" applyFont="1" applyFill="1" applyBorder="1" applyAlignment="1">
      <alignment horizontal="center" vertical="center"/>
    </xf>
    <xf numFmtId="49" fontId="20" fillId="8" borderId="55" xfId="0" applyNumberFormat="1" applyFont="1" applyFill="1" applyBorder="1" applyAlignment="1">
      <alignment horizontal="center" vertical="center"/>
    </xf>
    <xf numFmtId="49" fontId="20" fillId="2" borderId="56" xfId="0" applyNumberFormat="1" applyFont="1" applyFill="1" applyBorder="1" applyAlignment="1">
      <alignment horizontal="center" vertical="center"/>
    </xf>
    <xf numFmtId="49" fontId="20" fillId="9" borderId="56" xfId="0" applyNumberFormat="1" applyFont="1" applyFill="1" applyBorder="1" applyAlignment="1">
      <alignment horizontal="center" vertical="center"/>
    </xf>
    <xf numFmtId="49" fontId="20" fillId="8" borderId="56" xfId="0" applyNumberFormat="1" applyFont="1" applyFill="1" applyBorder="1" applyAlignment="1">
      <alignment horizontal="center" vertical="center"/>
    </xf>
    <xf numFmtId="0" fontId="22" fillId="0" borderId="17" xfId="0" applyFont="1" applyBorder="1" applyAlignment="1">
      <alignment horizontal="center" vertical="center"/>
    </xf>
    <xf numFmtId="49" fontId="20" fillId="8" borderId="57" xfId="0" applyNumberFormat="1" applyFont="1" applyFill="1" applyBorder="1" applyAlignment="1">
      <alignment horizontal="center" vertical="center"/>
    </xf>
    <xf numFmtId="164" fontId="21" fillId="0" borderId="15" xfId="0" applyNumberFormat="1" applyFont="1" applyBorder="1" applyAlignment="1">
      <alignment horizontal="center" vertical="center"/>
    </xf>
    <xf numFmtId="49" fontId="20" fillId="4" borderId="15" xfId="0" applyNumberFormat="1" applyFont="1" applyFill="1" applyBorder="1" applyAlignment="1">
      <alignment horizontal="center" vertical="center"/>
    </xf>
    <xf numFmtId="164" fontId="21" fillId="4" borderId="13" xfId="0" applyNumberFormat="1" applyFont="1" applyFill="1" applyBorder="1" applyAlignment="1">
      <alignment horizontal="center" vertical="center"/>
    </xf>
    <xf numFmtId="49" fontId="20" fillId="4" borderId="13" xfId="0" applyNumberFormat="1" applyFont="1" applyFill="1" applyBorder="1" applyAlignment="1">
      <alignment horizontal="center" vertical="center"/>
    </xf>
    <xf numFmtId="164" fontId="21" fillId="4" borderId="20" xfId="0" applyNumberFormat="1" applyFont="1" applyFill="1" applyBorder="1" applyAlignment="1">
      <alignment horizontal="center" vertical="center"/>
    </xf>
    <xf numFmtId="1" fontId="21" fillId="0" borderId="20" xfId="0" applyNumberFormat="1" applyFont="1" applyBorder="1" applyAlignment="1">
      <alignment horizontal="center" vertical="center"/>
    </xf>
    <xf numFmtId="49" fontId="20" fillId="4" borderId="20" xfId="0" applyNumberFormat="1" applyFont="1" applyFill="1" applyBorder="1" applyAlignment="1">
      <alignment horizontal="center" vertical="center"/>
    </xf>
    <xf numFmtId="1" fontId="21" fillId="0" borderId="21" xfId="0" applyNumberFormat="1" applyFont="1" applyBorder="1" applyAlignment="1">
      <alignment horizontal="center" vertical="center"/>
    </xf>
    <xf numFmtId="164" fontId="21" fillId="4" borderId="15" xfId="0" applyNumberFormat="1" applyFont="1" applyFill="1" applyBorder="1" applyAlignment="1">
      <alignment horizontal="center" vertical="center"/>
    </xf>
    <xf numFmtId="164" fontId="21" fillId="0" borderId="13" xfId="0" applyNumberFormat="1" applyFont="1" applyBorder="1" applyAlignment="1">
      <alignment horizontal="center" vertical="center"/>
    </xf>
    <xf numFmtId="164" fontId="21" fillId="0" borderId="20" xfId="0" applyNumberFormat="1" applyFont="1" applyBorder="1" applyAlignment="1">
      <alignment horizontal="center" vertical="center"/>
    </xf>
    <xf numFmtId="164" fontId="21" fillId="0" borderId="26" xfId="0" applyNumberFormat="1" applyFont="1" applyBorder="1" applyAlignment="1">
      <alignment horizontal="center" vertical="center"/>
    </xf>
    <xf numFmtId="0" fontId="19" fillId="10" borderId="58" xfId="0" applyFont="1" applyFill="1" applyBorder="1" applyAlignment="1">
      <alignment horizontal="center" vertical="center"/>
    </xf>
    <xf numFmtId="0" fontId="20" fillId="4" borderId="27" xfId="0" applyFont="1" applyFill="1" applyBorder="1" applyAlignment="1">
      <alignment horizontal="left" vertical="center" indent="1"/>
    </xf>
    <xf numFmtId="0" fontId="20" fillId="4" borderId="16" xfId="0" applyFont="1" applyFill="1" applyBorder="1" applyAlignment="1">
      <alignment horizontal="right" vertical="center" indent="1"/>
    </xf>
    <xf numFmtId="164" fontId="21" fillId="0" borderId="25" xfId="0" applyNumberFormat="1" applyFont="1" applyBorder="1" applyAlignment="1">
      <alignment horizontal="center" vertical="center"/>
    </xf>
    <xf numFmtId="0" fontId="19" fillId="10" borderId="56" xfId="0" applyFont="1" applyFill="1" applyBorder="1" applyAlignment="1">
      <alignment horizontal="center" vertical="center"/>
    </xf>
    <xf numFmtId="0" fontId="20" fillId="4" borderId="32" xfId="0" applyFont="1" applyFill="1" applyBorder="1" applyAlignment="1">
      <alignment horizontal="left" vertical="center" indent="1"/>
    </xf>
    <xf numFmtId="0" fontId="20" fillId="4" borderId="18" xfId="0" applyFont="1" applyFill="1" applyBorder="1" applyAlignment="1">
      <alignment horizontal="right" vertical="center" indent="1"/>
    </xf>
    <xf numFmtId="164" fontId="21" fillId="0" borderId="30" xfId="0" applyNumberFormat="1" applyFont="1" applyBorder="1" applyAlignment="1">
      <alignment horizontal="center" vertical="center"/>
    </xf>
    <xf numFmtId="0" fontId="19" fillId="10" borderId="57" xfId="0" applyFont="1" applyFill="1" applyBorder="1" applyAlignment="1">
      <alignment horizontal="center" vertical="center"/>
    </xf>
    <xf numFmtId="0" fontId="20" fillId="4" borderId="36" xfId="0" applyFont="1" applyFill="1" applyBorder="1" applyAlignment="1">
      <alignment horizontal="left" vertical="center" indent="1"/>
    </xf>
    <xf numFmtId="0" fontId="20" fillId="4" borderId="21" xfId="0" applyFont="1" applyFill="1" applyBorder="1" applyAlignment="1">
      <alignment horizontal="right" vertical="center" indent="1"/>
    </xf>
    <xf numFmtId="0" fontId="20" fillId="4" borderId="15" xfId="0" applyFont="1" applyFill="1" applyBorder="1" applyAlignment="1">
      <alignment horizontal="right" vertical="center" indent="1"/>
    </xf>
    <xf numFmtId="0" fontId="20" fillId="4" borderId="20" xfId="0" applyFont="1" applyFill="1" applyBorder="1" applyAlignment="1">
      <alignment horizontal="right" vertical="center" indent="1"/>
    </xf>
    <xf numFmtId="164" fontId="21" fillId="0" borderId="2" xfId="0" applyNumberFormat="1" applyFont="1" applyBorder="1" applyAlignment="1">
      <alignment horizontal="center" vertical="center"/>
    </xf>
    <xf numFmtId="164" fontId="21" fillId="0" borderId="54" xfId="0" applyNumberFormat="1" applyFont="1" applyBorder="1" applyAlignment="1">
      <alignment horizontal="center" vertical="center"/>
    </xf>
    <xf numFmtId="0" fontId="19" fillId="10" borderId="37" xfId="0" applyFont="1" applyFill="1" applyBorder="1" applyAlignment="1">
      <alignment horizontal="center" vertical="center"/>
    </xf>
    <xf numFmtId="0" fontId="20" fillId="4" borderId="54" xfId="0" applyFont="1" applyFill="1" applyBorder="1" applyAlignment="1">
      <alignment horizontal="left" vertical="center" indent="1"/>
    </xf>
    <xf numFmtId="0" fontId="20" fillId="4" borderId="54" xfId="0" applyFont="1" applyFill="1" applyBorder="1" applyAlignment="1">
      <alignment horizontal="right" vertical="center" indent="1"/>
    </xf>
    <xf numFmtId="0" fontId="20" fillId="4" borderId="3" xfId="0" applyFont="1" applyFill="1" applyBorder="1" applyAlignment="1">
      <alignment horizontal="left" vertical="center" indent="1"/>
    </xf>
    <xf numFmtId="0" fontId="20" fillId="4" borderId="59" xfId="0" applyFont="1" applyFill="1" applyBorder="1" applyAlignment="1">
      <alignment horizontal="right" vertical="center" indent="1"/>
    </xf>
    <xf numFmtId="49" fontId="42" fillId="4" borderId="0" xfId="0" applyNumberFormat="1" applyFont="1" applyFill="1" applyAlignment="1">
      <alignment vertical="center"/>
    </xf>
    <xf numFmtId="0" fontId="43" fillId="4" borderId="0" xfId="0" applyFont="1" applyFill="1" applyAlignment="1">
      <alignment horizontal="center" vertical="center"/>
    </xf>
    <xf numFmtId="49" fontId="2" fillId="4" borderId="37" xfId="0" applyNumberFormat="1" applyFont="1" applyFill="1" applyBorder="1" applyAlignment="1">
      <alignment horizontal="left" vertical="center"/>
    </xf>
    <xf numFmtId="0" fontId="0" fillId="4" borderId="27" xfId="0" applyFill="1" applyBorder="1" applyAlignment="1">
      <alignment horizontal="center" vertical="center"/>
    </xf>
    <xf numFmtId="0" fontId="0" fillId="4" borderId="16" xfId="0" applyFill="1" applyBorder="1" applyAlignment="1">
      <alignment horizontal="center" vertical="center"/>
    </xf>
    <xf numFmtId="0" fontId="0" fillId="0" borderId="27" xfId="0" applyBorder="1" applyAlignment="1">
      <alignment horizontal="center" vertical="center"/>
    </xf>
    <xf numFmtId="0" fontId="0" fillId="0" borderId="16" xfId="0" applyBorder="1" applyAlignment="1">
      <alignment horizontal="center" vertical="center"/>
    </xf>
    <xf numFmtId="0" fontId="0" fillId="4" borderId="28" xfId="0" applyFill="1" applyBorder="1" applyAlignment="1">
      <alignment horizontal="center" vertical="center"/>
    </xf>
    <xf numFmtId="0" fontId="0" fillId="4" borderId="18" xfId="0" applyFill="1" applyBorder="1" applyAlignment="1">
      <alignment horizontal="center" vertical="center"/>
    </xf>
    <xf numFmtId="0" fontId="0" fillId="0" borderId="13" xfId="0" applyBorder="1" applyAlignment="1">
      <alignment horizontal="center" vertical="center"/>
    </xf>
    <xf numFmtId="0" fontId="0" fillId="4" borderId="17" xfId="0" applyFill="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6" borderId="21" xfId="0" applyFill="1" applyBorder="1" applyAlignment="1">
      <alignment horizontal="center" vertical="center"/>
    </xf>
    <xf numFmtId="0" fontId="0" fillId="2" borderId="21" xfId="0" applyFill="1" applyBorder="1" applyAlignment="1">
      <alignment horizontal="center" vertical="center"/>
    </xf>
    <xf numFmtId="0" fontId="0" fillId="9" borderId="21" xfId="0" applyFill="1" applyBorder="1" applyAlignment="1">
      <alignment horizontal="center" vertical="center"/>
    </xf>
    <xf numFmtId="0" fontId="2" fillId="5" borderId="31" xfId="0" applyFont="1" applyFill="1" applyBorder="1" applyAlignment="1">
      <alignment horizontal="center" vertical="center"/>
    </xf>
    <xf numFmtId="0" fontId="0" fillId="0" borderId="14" xfId="0" applyBorder="1" applyAlignment="1">
      <alignment horizontal="center" vertical="center"/>
    </xf>
    <xf numFmtId="49" fontId="30" fillId="11" borderId="9" xfId="0" applyNumberFormat="1" applyFont="1" applyFill="1" applyBorder="1" applyAlignment="1">
      <alignment horizontal="center" vertical="center"/>
    </xf>
    <xf numFmtId="0" fontId="18" fillId="11" borderId="9" xfId="0" applyFont="1" applyFill="1" applyBorder="1"/>
    <xf numFmtId="49" fontId="30" fillId="11" borderId="5" xfId="0" applyNumberFormat="1" applyFont="1" applyFill="1" applyBorder="1" applyAlignment="1">
      <alignment horizontal="center" vertical="center"/>
    </xf>
    <xf numFmtId="49" fontId="30" fillId="11" borderId="5" xfId="0" applyNumberFormat="1" applyFont="1" applyFill="1" applyBorder="1" applyAlignment="1">
      <alignment vertical="center"/>
    </xf>
    <xf numFmtId="0" fontId="41" fillId="11" borderId="10" xfId="0" applyFont="1" applyFill="1" applyBorder="1" applyAlignment="1">
      <alignment vertical="center"/>
    </xf>
    <xf numFmtId="49" fontId="37" fillId="11" borderId="9" xfId="0" applyNumberFormat="1" applyFont="1" applyFill="1" applyBorder="1" applyAlignment="1">
      <alignment vertical="center"/>
    </xf>
    <xf numFmtId="0" fontId="49" fillId="4" borderId="13" xfId="0" applyFont="1" applyFill="1" applyBorder="1" applyAlignment="1">
      <alignment horizontal="left" vertical="center"/>
    </xf>
    <xf numFmtId="0" fontId="21" fillId="10" borderId="51" xfId="0" applyFont="1" applyFill="1" applyBorder="1" applyAlignment="1">
      <alignment horizontal="center" vertical="center" wrapText="1"/>
    </xf>
    <xf numFmtId="0" fontId="21" fillId="4" borderId="42" xfId="0" applyFont="1" applyFill="1" applyBorder="1" applyAlignment="1">
      <alignment horizontal="left" vertical="center" indent="1"/>
    </xf>
    <xf numFmtId="14" fontId="21" fillId="10" borderId="42" xfId="0" applyNumberFormat="1" applyFont="1" applyFill="1" applyBorder="1" applyAlignment="1">
      <alignment horizontal="center" vertical="center" wrapText="1"/>
    </xf>
    <xf numFmtId="0" fontId="21" fillId="4" borderId="13" xfId="0" applyFont="1" applyFill="1" applyBorder="1" applyAlignment="1">
      <alignment horizontal="left" vertical="center" wrapText="1" indent="1"/>
    </xf>
    <xf numFmtId="0" fontId="2" fillId="7" borderId="13" xfId="0" applyFont="1" applyFill="1" applyBorder="1" applyAlignment="1">
      <alignment horizontal="left" vertical="center"/>
    </xf>
    <xf numFmtId="0" fontId="2" fillId="7" borderId="13" xfId="0" applyFont="1" applyFill="1" applyBorder="1" applyAlignment="1">
      <alignment horizontal="center" vertical="center"/>
    </xf>
    <xf numFmtId="0" fontId="2" fillId="4" borderId="60" xfId="0" applyFont="1" applyFill="1" applyBorder="1" applyAlignment="1">
      <alignment horizontal="center" vertical="center"/>
    </xf>
    <xf numFmtId="0" fontId="49" fillId="4" borderId="60" xfId="0" applyFont="1" applyFill="1" applyBorder="1" applyAlignment="1">
      <alignment horizontal="left" vertical="center"/>
    </xf>
    <xf numFmtId="49" fontId="42" fillId="11" borderId="6" xfId="0" applyNumberFormat="1" applyFont="1" applyFill="1" applyBorder="1" applyAlignment="1">
      <alignment horizontal="center" vertical="center"/>
    </xf>
    <xf numFmtId="49" fontId="42" fillId="11" borderId="7" xfId="0" applyNumberFormat="1" applyFont="1" applyFill="1" applyBorder="1" applyAlignment="1">
      <alignment horizontal="center" vertical="center"/>
    </xf>
    <xf numFmtId="49" fontId="42" fillId="11" borderId="8" xfId="0" applyNumberFormat="1" applyFont="1" applyFill="1" applyBorder="1" applyAlignment="1">
      <alignment horizontal="center" vertical="center"/>
    </xf>
    <xf numFmtId="49" fontId="42" fillId="11" borderId="9" xfId="0" applyNumberFormat="1" applyFont="1" applyFill="1" applyBorder="1" applyAlignment="1">
      <alignment horizontal="center" vertical="center"/>
    </xf>
    <xf numFmtId="0" fontId="43" fillId="6" borderId="22" xfId="0" applyFont="1" applyFill="1" applyBorder="1" applyAlignment="1">
      <alignment horizontal="center" vertical="center"/>
    </xf>
    <xf numFmtId="0" fontId="43" fillId="6" borderId="23" xfId="0" applyFont="1" applyFill="1" applyBorder="1" applyAlignment="1">
      <alignment horizontal="center" vertical="center"/>
    </xf>
    <xf numFmtId="0" fontId="43" fillId="6" borderId="4" xfId="0" applyFont="1" applyFill="1" applyBorder="1" applyAlignment="1">
      <alignment horizontal="center" vertical="center"/>
    </xf>
    <xf numFmtId="0" fontId="0" fillId="11" borderId="5" xfId="0" applyFill="1" applyBorder="1" applyAlignment="1">
      <alignment horizontal="center"/>
    </xf>
    <xf numFmtId="0" fontId="44" fillId="11" borderId="0" xfId="0" applyFont="1" applyFill="1" applyAlignment="1">
      <alignment horizontal="center" vertical="center"/>
    </xf>
    <xf numFmtId="0" fontId="0" fillId="11" borderId="35" xfId="0" applyFill="1" applyBorder="1" applyAlignment="1">
      <alignment horizontal="center" vertical="center"/>
    </xf>
    <xf numFmtId="0" fontId="0" fillId="11" borderId="35" xfId="0" quotePrefix="1" applyFill="1" applyBorder="1" applyAlignment="1">
      <alignment horizontal="center"/>
    </xf>
    <xf numFmtId="0" fontId="0" fillId="11" borderId="35" xfId="0" applyFill="1" applyBorder="1" applyAlignment="1">
      <alignment horizontal="center"/>
    </xf>
    <xf numFmtId="0" fontId="0" fillId="11" borderId="6" xfId="0" applyFill="1" applyBorder="1" applyAlignment="1">
      <alignment horizontal="center"/>
    </xf>
    <xf numFmtId="0" fontId="0" fillId="11" borderId="7" xfId="0" applyFill="1" applyBorder="1" applyAlignment="1">
      <alignment horizontal="center"/>
    </xf>
    <xf numFmtId="0" fontId="0" fillId="11" borderId="8" xfId="0" applyFill="1" applyBorder="1" applyAlignment="1">
      <alignment horizontal="center"/>
    </xf>
    <xf numFmtId="49" fontId="38" fillId="4" borderId="22" xfId="0" applyNumberFormat="1" applyFont="1" applyFill="1" applyBorder="1" applyAlignment="1">
      <alignment horizontal="center" vertical="center"/>
    </xf>
    <xf numFmtId="49" fontId="38" fillId="4" borderId="23" xfId="0" applyNumberFormat="1" applyFont="1" applyFill="1" applyBorder="1" applyAlignment="1">
      <alignment horizontal="center" vertical="center"/>
    </xf>
    <xf numFmtId="49" fontId="38" fillId="4" borderId="4" xfId="0" applyNumberFormat="1" applyFont="1" applyFill="1" applyBorder="1" applyAlignment="1">
      <alignment horizontal="center" vertical="center"/>
    </xf>
    <xf numFmtId="49" fontId="37" fillId="11" borderId="5" xfId="0" applyNumberFormat="1" applyFont="1" applyFill="1" applyBorder="1" applyAlignment="1">
      <alignment horizontal="center" vertical="center"/>
    </xf>
    <xf numFmtId="49" fontId="37" fillId="11" borderId="12" xfId="0" applyNumberFormat="1" applyFont="1" applyFill="1" applyBorder="1" applyAlignment="1">
      <alignment horizontal="center" vertical="center"/>
    </xf>
    <xf numFmtId="49" fontId="47" fillId="11" borderId="0" xfId="0" applyNumberFormat="1" applyFont="1" applyFill="1" applyAlignment="1">
      <alignment horizontal="center" vertical="center"/>
    </xf>
    <xf numFmtId="49" fontId="39" fillId="13" borderId="22" xfId="0" applyNumberFormat="1" applyFont="1" applyFill="1" applyBorder="1" applyAlignment="1">
      <alignment horizontal="center" vertical="center"/>
    </xf>
    <xf numFmtId="49" fontId="39" fillId="13" borderId="23" xfId="0" applyNumberFormat="1" applyFont="1" applyFill="1" applyBorder="1" applyAlignment="1">
      <alignment horizontal="center" vertical="center"/>
    </xf>
    <xf numFmtId="49" fontId="39" fillId="13" borderId="4" xfId="0" applyNumberFormat="1" applyFont="1" applyFill="1" applyBorder="1" applyAlignment="1">
      <alignment horizontal="center" vertical="center"/>
    </xf>
    <xf numFmtId="49" fontId="48" fillId="11" borderId="0" xfId="0" applyNumberFormat="1" applyFont="1" applyFill="1" applyAlignment="1">
      <alignment horizontal="center" vertical="center"/>
    </xf>
    <xf numFmtId="0" fontId="40" fillId="0" borderId="22" xfId="0" applyFont="1" applyBorder="1" applyAlignment="1">
      <alignment horizontal="center" vertical="center"/>
    </xf>
    <xf numFmtId="0" fontId="40" fillId="0" borderId="23" xfId="0" applyFont="1" applyBorder="1" applyAlignment="1">
      <alignment horizontal="center" vertical="center"/>
    </xf>
    <xf numFmtId="0" fontId="40" fillId="0" borderId="4" xfId="0" applyFont="1" applyBorder="1" applyAlignment="1">
      <alignment horizontal="center" vertical="center"/>
    </xf>
    <xf numFmtId="0" fontId="41" fillId="11" borderId="23" xfId="0" applyFont="1" applyFill="1" applyBorder="1" applyAlignment="1">
      <alignment horizontal="center" vertical="center"/>
    </xf>
    <xf numFmtId="0" fontId="0" fillId="11" borderId="10" xfId="0" applyFill="1" applyBorder="1" applyAlignment="1">
      <alignment horizontal="center"/>
    </xf>
    <xf numFmtId="0" fontId="0" fillId="11" borderId="11" xfId="0" applyFill="1" applyBorder="1" applyAlignment="1">
      <alignment horizontal="center"/>
    </xf>
    <xf numFmtId="0" fontId="0" fillId="11" borderId="12" xfId="0" applyFill="1" applyBorder="1" applyAlignment="1">
      <alignment horizontal="center"/>
    </xf>
    <xf numFmtId="0" fontId="43" fillId="2" borderId="1" xfId="0" applyFont="1" applyFill="1" applyBorder="1" applyAlignment="1">
      <alignment horizontal="center" vertical="center"/>
    </xf>
    <xf numFmtId="0" fontId="43" fillId="2" borderId="2" xfId="0" applyFont="1" applyFill="1" applyBorder="1" applyAlignment="1">
      <alignment horizontal="center" vertical="center"/>
    </xf>
    <xf numFmtId="0" fontId="43" fillId="2" borderId="3" xfId="0" applyFont="1" applyFill="1" applyBorder="1" applyAlignment="1">
      <alignment horizontal="center" vertical="center"/>
    </xf>
    <xf numFmtId="0" fontId="43" fillId="9" borderId="1" xfId="0" applyFont="1" applyFill="1" applyBorder="1" applyAlignment="1">
      <alignment horizontal="center" vertical="center"/>
    </xf>
    <xf numFmtId="0" fontId="43" fillId="9" borderId="2" xfId="0" applyFont="1" applyFill="1" applyBorder="1" applyAlignment="1">
      <alignment horizontal="center" vertical="center"/>
    </xf>
    <xf numFmtId="0" fontId="43" fillId="9" borderId="3" xfId="0" applyFont="1" applyFill="1" applyBorder="1" applyAlignment="1">
      <alignment horizontal="center" vertical="center"/>
    </xf>
    <xf numFmtId="0" fontId="44" fillId="11" borderId="7" xfId="0" applyFont="1" applyFill="1" applyBorder="1" applyAlignment="1">
      <alignment horizontal="center" vertical="center"/>
    </xf>
    <xf numFmtId="0" fontId="0" fillId="11" borderId="9" xfId="0" applyFill="1" applyBorder="1" applyAlignment="1">
      <alignment horizontal="center"/>
    </xf>
    <xf numFmtId="0" fontId="43" fillId="2" borderId="22" xfId="0" applyFont="1" applyFill="1" applyBorder="1" applyAlignment="1">
      <alignment horizontal="center" vertical="center"/>
    </xf>
    <xf numFmtId="0" fontId="43" fillId="2" borderId="23" xfId="0" applyFont="1" applyFill="1" applyBorder="1" applyAlignment="1">
      <alignment horizontal="center" vertical="center"/>
    </xf>
    <xf numFmtId="0" fontId="43" fillId="2" borderId="4" xfId="0" applyFont="1" applyFill="1" applyBorder="1" applyAlignment="1">
      <alignment horizontal="center" vertical="center"/>
    </xf>
    <xf numFmtId="0" fontId="2" fillId="5" borderId="40" xfId="0" applyFont="1" applyFill="1" applyBorder="1" applyAlignment="1">
      <alignment horizontal="center" vertical="center"/>
    </xf>
    <xf numFmtId="0" fontId="2" fillId="5" borderId="7" xfId="0" applyFont="1" applyFill="1" applyBorder="1" applyAlignment="1">
      <alignment horizontal="center" vertical="center"/>
    </xf>
    <xf numFmtId="0" fontId="2" fillId="5" borderId="41" xfId="0" applyFont="1" applyFill="1" applyBorder="1" applyAlignment="1">
      <alignment horizontal="center" vertical="center"/>
    </xf>
    <xf numFmtId="0" fontId="2" fillId="5" borderId="34" xfId="0" applyFont="1" applyFill="1" applyBorder="1" applyAlignment="1">
      <alignment horizontal="center" vertical="center" wrapText="1"/>
    </xf>
    <xf numFmtId="0" fontId="2" fillId="5" borderId="33" xfId="0" applyFont="1" applyFill="1" applyBorder="1" applyAlignment="1">
      <alignment horizontal="center" vertical="center" wrapText="1"/>
    </xf>
    <xf numFmtId="0" fontId="2" fillId="5" borderId="34" xfId="0" applyFont="1" applyFill="1" applyBorder="1" applyAlignment="1">
      <alignment horizontal="center" vertical="center"/>
    </xf>
    <xf numFmtId="0" fontId="2" fillId="5" borderId="33" xfId="0" applyFont="1" applyFill="1" applyBorder="1" applyAlignment="1">
      <alignment horizontal="center" vertical="center"/>
    </xf>
    <xf numFmtId="0" fontId="0" fillId="14" borderId="26" xfId="0" applyFill="1" applyBorder="1" applyAlignment="1">
      <alignment horizontal="center" vertical="center"/>
    </xf>
    <xf numFmtId="0" fontId="0" fillId="14" borderId="38" xfId="0" applyFill="1" applyBorder="1" applyAlignment="1">
      <alignment horizontal="center" vertical="center"/>
    </xf>
    <xf numFmtId="0" fontId="0" fillId="14" borderId="27" xfId="0" applyFill="1" applyBorder="1" applyAlignment="1">
      <alignment horizontal="center" vertical="center"/>
    </xf>
    <xf numFmtId="0" fontId="0" fillId="14" borderId="25" xfId="0" applyFill="1" applyBorder="1" applyAlignment="1">
      <alignment horizontal="center" vertical="center"/>
    </xf>
    <xf numFmtId="0" fontId="0" fillId="14" borderId="29" xfId="0" applyFill="1" applyBorder="1" applyAlignment="1">
      <alignment horizontal="center" vertical="center"/>
    </xf>
    <xf numFmtId="0" fontId="0" fillId="14" borderId="32" xfId="0" applyFill="1" applyBorder="1" applyAlignment="1">
      <alignment horizontal="center" vertical="center"/>
    </xf>
    <xf numFmtId="0" fontId="0" fillId="0" borderId="13" xfId="0" applyBorder="1" applyAlignment="1">
      <alignment horizontal="center" vertical="center"/>
    </xf>
    <xf numFmtId="49" fontId="0" fillId="0" borderId="13" xfId="0" applyNumberFormat="1" applyBorder="1" applyAlignment="1">
      <alignment horizontal="center" vertical="center"/>
    </xf>
    <xf numFmtId="0" fontId="0" fillId="0" borderId="18" xfId="0" applyBorder="1" applyAlignment="1">
      <alignment horizontal="center" vertical="center"/>
    </xf>
    <xf numFmtId="0" fontId="0" fillId="0" borderId="25" xfId="0" applyBorder="1" applyAlignment="1">
      <alignment horizontal="center" vertical="center"/>
    </xf>
    <xf numFmtId="0" fontId="0" fillId="0" borderId="24" xfId="0" applyBorder="1" applyAlignment="1">
      <alignment horizontal="center" vertical="center"/>
    </xf>
    <xf numFmtId="0" fontId="0" fillId="0" borderId="15" xfId="0" applyBorder="1" applyAlignment="1">
      <alignment horizontal="center" vertical="center"/>
    </xf>
    <xf numFmtId="49" fontId="0" fillId="0" borderId="15" xfId="0" applyNumberFormat="1" applyBorder="1" applyAlignment="1">
      <alignment horizontal="center" vertical="center"/>
    </xf>
    <xf numFmtId="0" fontId="0" fillId="0" borderId="16" xfId="0" applyBorder="1" applyAlignment="1">
      <alignment horizontal="center" vertical="center"/>
    </xf>
    <xf numFmtId="0" fontId="0" fillId="14" borderId="30" xfId="0" applyFill="1" applyBorder="1" applyAlignment="1">
      <alignment horizontal="center" vertical="center"/>
    </xf>
    <xf numFmtId="0" fontId="0" fillId="14" borderId="39" xfId="0" applyFill="1" applyBorder="1" applyAlignment="1">
      <alignment horizontal="center" vertical="center"/>
    </xf>
    <xf numFmtId="0" fontId="0" fillId="14" borderId="36" xfId="0" applyFill="1" applyBorder="1" applyAlignment="1">
      <alignment horizontal="center" vertical="center"/>
    </xf>
    <xf numFmtId="0" fontId="0" fillId="0" borderId="20" xfId="0" applyBorder="1" applyAlignment="1">
      <alignment horizontal="center" vertical="center"/>
    </xf>
    <xf numFmtId="49" fontId="0" fillId="0" borderId="20" xfId="0" applyNumberFormat="1" applyBorder="1" applyAlignment="1">
      <alignment horizontal="center" vertical="center"/>
    </xf>
    <xf numFmtId="0" fontId="0" fillId="0" borderId="21" xfId="0" applyBorder="1" applyAlignment="1">
      <alignment horizontal="center" vertical="center"/>
    </xf>
    <xf numFmtId="0" fontId="45" fillId="0" borderId="6" xfId="0" applyFont="1" applyBorder="1" applyAlignment="1">
      <alignment horizontal="center" vertical="center"/>
    </xf>
    <xf numFmtId="0" fontId="45" fillId="0" borderId="7" xfId="0" applyFont="1" applyBorder="1" applyAlignment="1">
      <alignment horizontal="center" vertical="center"/>
    </xf>
    <xf numFmtId="0" fontId="45" fillId="0" borderId="8" xfId="0" applyFont="1" applyBorder="1" applyAlignment="1">
      <alignment horizontal="center" vertical="center"/>
    </xf>
    <xf numFmtId="0" fontId="45" fillId="0" borderId="9" xfId="0" applyFont="1" applyBorder="1" applyAlignment="1">
      <alignment horizontal="center" vertical="center"/>
    </xf>
    <xf numFmtId="0" fontId="45" fillId="0" borderId="0" xfId="0" applyFont="1" applyAlignment="1">
      <alignment horizontal="center" vertical="center"/>
    </xf>
    <xf numFmtId="0" fontId="45" fillId="0" borderId="5" xfId="0" applyFont="1" applyBorder="1" applyAlignment="1">
      <alignment horizontal="center" vertical="center"/>
    </xf>
    <xf numFmtId="0" fontId="45" fillId="0" borderId="10" xfId="0" applyFont="1" applyBorder="1" applyAlignment="1">
      <alignment horizontal="center" vertical="center"/>
    </xf>
    <xf numFmtId="0" fontId="45" fillId="0" borderId="11" xfId="0" applyFont="1" applyBorder="1" applyAlignment="1">
      <alignment horizontal="center" vertical="center"/>
    </xf>
    <xf numFmtId="0" fontId="45" fillId="0" borderId="12" xfId="0" applyFont="1" applyBorder="1" applyAlignment="1">
      <alignment horizontal="center" vertical="center"/>
    </xf>
    <xf numFmtId="0" fontId="2" fillId="5" borderId="6" xfId="0" applyFont="1" applyFill="1" applyBorder="1" applyAlignment="1">
      <alignment horizontal="center" vertical="center"/>
    </xf>
    <xf numFmtId="0" fontId="2" fillId="5" borderId="8" xfId="0" applyFont="1" applyFill="1" applyBorder="1" applyAlignment="1">
      <alignment horizontal="center" vertical="center"/>
    </xf>
    <xf numFmtId="49" fontId="0" fillId="0" borderId="14" xfId="0" applyNumberFormat="1" applyBorder="1" applyAlignment="1">
      <alignment horizontal="center" vertical="center"/>
    </xf>
    <xf numFmtId="49" fontId="0" fillId="0" borderId="16" xfId="0" applyNumberFormat="1" applyBorder="1" applyAlignment="1">
      <alignment horizontal="center" vertical="center"/>
    </xf>
    <xf numFmtId="0" fontId="0" fillId="0" borderId="27" xfId="0" applyBorder="1" applyAlignment="1">
      <alignment horizontal="center" vertical="center"/>
    </xf>
    <xf numFmtId="49" fontId="0" fillId="0" borderId="17" xfId="0" applyNumberFormat="1" applyBorder="1" applyAlignment="1">
      <alignment horizontal="center" vertical="center"/>
    </xf>
    <xf numFmtId="49" fontId="0" fillId="0" borderId="18" xfId="0" applyNumberFormat="1" applyBorder="1" applyAlignment="1">
      <alignment horizontal="center" vertical="center"/>
    </xf>
    <xf numFmtId="0" fontId="0" fillId="0" borderId="32" xfId="0" applyBorder="1" applyAlignment="1">
      <alignment horizontal="center" vertical="center"/>
    </xf>
    <xf numFmtId="49" fontId="0" fillId="0" borderId="19" xfId="0" applyNumberFormat="1" applyBorder="1" applyAlignment="1">
      <alignment horizontal="center" vertical="center"/>
    </xf>
    <xf numFmtId="49" fontId="0" fillId="0" borderId="21" xfId="0" applyNumberFormat="1" applyBorder="1" applyAlignment="1">
      <alignment horizontal="center" vertical="center"/>
    </xf>
    <xf numFmtId="0" fontId="0" fillId="0" borderId="36" xfId="0" applyBorder="1" applyAlignment="1">
      <alignment horizontal="center" vertical="center"/>
    </xf>
    <xf numFmtId="0" fontId="21" fillId="4" borderId="51" xfId="0" applyFont="1" applyFill="1" applyBorder="1" applyAlignment="1">
      <alignment horizontal="center" vertical="center" wrapText="1"/>
    </xf>
    <xf numFmtId="0" fontId="21" fillId="4" borderId="52" xfId="0" applyFont="1" applyFill="1" applyBorder="1" applyAlignment="1">
      <alignment horizontal="center" vertical="center" wrapText="1"/>
    </xf>
    <xf numFmtId="0" fontId="21" fillId="10" borderId="51" xfId="0" applyFont="1" applyFill="1" applyBorder="1" applyAlignment="1">
      <alignment horizontal="center" vertical="center" wrapText="1"/>
    </xf>
    <xf numFmtId="0" fontId="21" fillId="10" borderId="52" xfId="0" applyFont="1" applyFill="1" applyBorder="1" applyAlignment="1">
      <alignment horizontal="center" vertical="center" wrapText="1"/>
    </xf>
    <xf numFmtId="0" fontId="21" fillId="10" borderId="53" xfId="0" applyFont="1" applyFill="1" applyBorder="1" applyAlignment="1">
      <alignment horizontal="center" vertical="center" wrapText="1"/>
    </xf>
    <xf numFmtId="0" fontId="21" fillId="4" borderId="53" xfId="0" applyFont="1" applyFill="1" applyBorder="1" applyAlignment="1">
      <alignment horizontal="center" vertical="center" wrapText="1"/>
    </xf>
    <xf numFmtId="0" fontId="26" fillId="11" borderId="42" xfId="0" applyFont="1" applyFill="1" applyBorder="1" applyAlignment="1">
      <alignment horizontal="center" vertical="center" wrapText="1"/>
    </xf>
    <xf numFmtId="0" fontId="21" fillId="4" borderId="42" xfId="0" applyFont="1" applyFill="1" applyBorder="1" applyAlignment="1">
      <alignment horizontal="center" vertical="center" wrapText="1"/>
    </xf>
    <xf numFmtId="0" fontId="0" fillId="11" borderId="43" xfId="0" applyFill="1" applyBorder="1" applyAlignment="1">
      <alignment horizontal="center"/>
    </xf>
    <xf numFmtId="0" fontId="0" fillId="11" borderId="44" xfId="0" applyFill="1" applyBorder="1" applyAlignment="1">
      <alignment horizontal="center"/>
    </xf>
    <xf numFmtId="0" fontId="0" fillId="11" borderId="45" xfId="0" applyFill="1" applyBorder="1" applyAlignment="1">
      <alignment horizontal="center"/>
    </xf>
    <xf numFmtId="0" fontId="0" fillId="11" borderId="46" xfId="0" applyFill="1" applyBorder="1" applyAlignment="1">
      <alignment horizontal="center"/>
    </xf>
    <xf numFmtId="0" fontId="0" fillId="11" borderId="48" xfId="0" applyFill="1" applyBorder="1" applyAlignment="1">
      <alignment horizontal="center"/>
    </xf>
    <xf numFmtId="0" fontId="23" fillId="4" borderId="42" xfId="0" applyFont="1" applyFill="1" applyBorder="1" applyAlignment="1">
      <alignment horizontal="center" vertical="center" wrapText="1"/>
    </xf>
    <xf numFmtId="0" fontId="0" fillId="11" borderId="47" xfId="0" applyFill="1" applyBorder="1" applyAlignment="1">
      <alignment horizontal="center"/>
    </xf>
    <xf numFmtId="0" fontId="0" fillId="11" borderId="50" xfId="0" applyFill="1" applyBorder="1" applyAlignment="1">
      <alignment horizontal="center"/>
    </xf>
    <xf numFmtId="0" fontId="30" fillId="3" borderId="42" xfId="0" applyFont="1" applyFill="1" applyBorder="1" applyAlignment="1">
      <alignment horizontal="center" vertical="center" wrapText="1"/>
    </xf>
    <xf numFmtId="0" fontId="0" fillId="11" borderId="49" xfId="0" applyFill="1" applyBorder="1" applyAlignment="1">
      <alignment horizontal="center"/>
    </xf>
    <xf numFmtId="0" fontId="8" fillId="0" borderId="13" xfId="0" applyFont="1" applyBorder="1" applyAlignment="1">
      <alignment horizontal="left" vertical="center" indent="1"/>
    </xf>
    <xf numFmtId="0" fontId="8" fillId="0" borderId="18" xfId="0" applyFont="1" applyBorder="1" applyAlignment="1">
      <alignment horizontal="left" vertical="center" indent="1"/>
    </xf>
    <xf numFmtId="49" fontId="3" fillId="11" borderId="9" xfId="0" applyNumberFormat="1" applyFont="1" applyFill="1" applyBorder="1" applyAlignment="1">
      <alignment horizontal="center" vertical="center"/>
    </xf>
    <xf numFmtId="49" fontId="27" fillId="4" borderId="22" xfId="0" applyNumberFormat="1" applyFont="1" applyFill="1" applyBorder="1" applyAlignment="1">
      <alignment horizontal="center" vertical="center"/>
    </xf>
    <xf numFmtId="49" fontId="27" fillId="4" borderId="23" xfId="0" applyNumberFormat="1" applyFont="1" applyFill="1" applyBorder="1" applyAlignment="1">
      <alignment horizontal="center" vertical="center"/>
    </xf>
    <xf numFmtId="49" fontId="27" fillId="4" borderId="4" xfId="0" applyNumberFormat="1" applyFont="1" applyFill="1" applyBorder="1" applyAlignment="1">
      <alignment horizontal="center" vertical="center"/>
    </xf>
    <xf numFmtId="49" fontId="5" fillId="11" borderId="22" xfId="0" applyNumberFormat="1" applyFont="1" applyFill="1" applyBorder="1" applyAlignment="1">
      <alignment horizontal="center" vertical="center"/>
    </xf>
    <xf numFmtId="49" fontId="5" fillId="11" borderId="23" xfId="0" applyNumberFormat="1" applyFont="1" applyFill="1" applyBorder="1" applyAlignment="1">
      <alignment horizontal="center" vertical="center"/>
    </xf>
    <xf numFmtId="49" fontId="5" fillId="11" borderId="4" xfId="0" applyNumberFormat="1" applyFont="1" applyFill="1" applyBorder="1" applyAlignment="1">
      <alignment horizontal="center" vertical="center"/>
    </xf>
    <xf numFmtId="49" fontId="28" fillId="3" borderId="22" xfId="0" applyNumberFormat="1" applyFont="1" applyFill="1" applyBorder="1" applyAlignment="1">
      <alignment horizontal="center" vertical="center"/>
    </xf>
    <xf numFmtId="49" fontId="28" fillId="3" borderId="23" xfId="0" applyNumberFormat="1" applyFont="1" applyFill="1" applyBorder="1" applyAlignment="1">
      <alignment horizontal="center" vertical="center"/>
    </xf>
    <xf numFmtId="49" fontId="28" fillId="3" borderId="4" xfId="0" applyNumberFormat="1" applyFont="1" applyFill="1" applyBorder="1" applyAlignment="1">
      <alignment horizontal="center" vertical="center"/>
    </xf>
    <xf numFmtId="49" fontId="6" fillId="11" borderId="6" xfId="0" applyNumberFormat="1" applyFont="1" applyFill="1" applyBorder="1" applyAlignment="1">
      <alignment horizontal="center" vertical="center"/>
    </xf>
    <xf numFmtId="49" fontId="6" fillId="11" borderId="7" xfId="0" applyNumberFormat="1" applyFont="1" applyFill="1" applyBorder="1" applyAlignment="1">
      <alignment horizontal="center" vertical="center"/>
    </xf>
    <xf numFmtId="49" fontId="6" fillId="11" borderId="8" xfId="0" applyNumberFormat="1" applyFont="1" applyFill="1" applyBorder="1" applyAlignment="1">
      <alignment horizontal="center" vertical="center"/>
    </xf>
    <xf numFmtId="49" fontId="29" fillId="4" borderId="22" xfId="0" applyNumberFormat="1" applyFont="1" applyFill="1" applyBorder="1" applyAlignment="1">
      <alignment horizontal="center" vertical="center" wrapText="1"/>
    </xf>
    <xf numFmtId="49" fontId="29" fillId="4" borderId="4" xfId="0" applyNumberFormat="1" applyFont="1" applyFill="1" applyBorder="1" applyAlignment="1">
      <alignment horizontal="center" vertical="center" wrapText="1"/>
    </xf>
    <xf numFmtId="49" fontId="46" fillId="11" borderId="6" xfId="0" applyNumberFormat="1" applyFont="1" applyFill="1" applyBorder="1" applyAlignment="1">
      <alignment horizontal="center" vertical="center"/>
    </xf>
    <xf numFmtId="49" fontId="46" fillId="11" borderId="7" xfId="0" applyNumberFormat="1" applyFont="1" applyFill="1" applyBorder="1" applyAlignment="1">
      <alignment horizontal="center" vertical="center"/>
    </xf>
    <xf numFmtId="49" fontId="46" fillId="11" borderId="8" xfId="0" applyNumberFormat="1" applyFont="1" applyFill="1" applyBorder="1" applyAlignment="1">
      <alignment horizontal="center" vertical="center"/>
    </xf>
    <xf numFmtId="49" fontId="46" fillId="11" borderId="10" xfId="0" applyNumberFormat="1" applyFont="1" applyFill="1" applyBorder="1" applyAlignment="1">
      <alignment horizontal="center" vertical="center"/>
    </xf>
    <xf numFmtId="49" fontId="46" fillId="11" borderId="11" xfId="0" applyNumberFormat="1" applyFont="1" applyFill="1" applyBorder="1" applyAlignment="1">
      <alignment horizontal="center" vertical="center"/>
    </xf>
    <xf numFmtId="49" fontId="46" fillId="11" borderId="12" xfId="0" applyNumberFormat="1" applyFont="1" applyFill="1" applyBorder="1" applyAlignment="1">
      <alignment horizontal="center" vertical="center"/>
    </xf>
    <xf numFmtId="49" fontId="29" fillId="7" borderId="22" xfId="0" applyNumberFormat="1" applyFont="1" applyFill="1" applyBorder="1" applyAlignment="1">
      <alignment horizontal="center" vertical="center" wrapText="1"/>
    </xf>
    <xf numFmtId="49" fontId="29" fillId="7" borderId="4" xfId="0" applyNumberFormat="1" applyFont="1" applyFill="1" applyBorder="1" applyAlignment="1">
      <alignment horizontal="center" vertical="center" wrapText="1"/>
    </xf>
    <xf numFmtId="0" fontId="0" fillId="11" borderId="23" xfId="0" applyFill="1" applyBorder="1" applyAlignment="1">
      <alignment horizontal="center"/>
    </xf>
    <xf numFmtId="0" fontId="7" fillId="5" borderId="40" xfId="0" applyFont="1" applyFill="1" applyBorder="1" applyAlignment="1">
      <alignment horizontal="center" vertical="center"/>
    </xf>
    <xf numFmtId="0" fontId="7" fillId="5" borderId="7" xfId="0" applyFont="1" applyFill="1" applyBorder="1" applyAlignment="1">
      <alignment horizontal="center" vertical="center"/>
    </xf>
    <xf numFmtId="0" fontId="7" fillId="5" borderId="41" xfId="0" applyFont="1" applyFill="1" applyBorder="1" applyAlignment="1">
      <alignment horizontal="center" vertical="center"/>
    </xf>
    <xf numFmtId="0" fontId="8" fillId="0" borderId="15" xfId="0" applyFont="1" applyBorder="1" applyAlignment="1">
      <alignment horizontal="left" vertical="center" wrapText="1" indent="1"/>
    </xf>
    <xf numFmtId="0" fontId="8" fillId="0" borderId="16" xfId="0" applyFont="1" applyBorder="1" applyAlignment="1">
      <alignment horizontal="left" vertical="center" wrapText="1" indent="1"/>
    </xf>
    <xf numFmtId="0" fontId="8" fillId="4" borderId="13" xfId="0" applyFont="1" applyFill="1" applyBorder="1" applyAlignment="1">
      <alignment horizontal="left" vertical="center" indent="1"/>
    </xf>
    <xf numFmtId="0" fontId="8" fillId="4" borderId="18" xfId="0" applyFont="1" applyFill="1" applyBorder="1" applyAlignment="1">
      <alignment horizontal="left" vertical="center" indent="1"/>
    </xf>
    <xf numFmtId="0" fontId="8" fillId="4" borderId="17" xfId="0" applyFont="1" applyFill="1" applyBorder="1" applyAlignment="1">
      <alignment horizontal="center" vertical="center"/>
    </xf>
    <xf numFmtId="0" fontId="9" fillId="0" borderId="13" xfId="0" applyFont="1" applyBorder="1" applyAlignment="1">
      <alignment horizontal="left" vertical="center" wrapText="1"/>
    </xf>
    <xf numFmtId="0" fontId="8" fillId="4" borderId="13" xfId="0" applyFont="1" applyFill="1" applyBorder="1" applyAlignment="1">
      <alignment horizontal="left" vertical="center" indent="2"/>
    </xf>
    <xf numFmtId="0" fontId="8" fillId="4" borderId="18" xfId="0" applyFont="1" applyFill="1" applyBorder="1" applyAlignment="1">
      <alignment horizontal="left" vertical="center" indent="2"/>
    </xf>
    <xf numFmtId="0" fontId="8" fillId="4" borderId="13" xfId="0" applyFont="1" applyFill="1" applyBorder="1" applyAlignment="1">
      <alignment horizontal="left" vertical="center" wrapText="1" indent="1"/>
    </xf>
    <xf numFmtId="0" fontId="8" fillId="4" borderId="18" xfId="0" applyFont="1" applyFill="1" applyBorder="1" applyAlignment="1">
      <alignment horizontal="left" vertical="center" wrapText="1" indent="1"/>
    </xf>
    <xf numFmtId="0" fontId="9" fillId="4" borderId="13" xfId="0" applyFont="1" applyFill="1" applyBorder="1" applyAlignment="1">
      <alignment horizontal="left" vertical="center" wrapText="1"/>
    </xf>
    <xf numFmtId="0" fontId="8" fillId="12" borderId="13" xfId="0" applyFont="1" applyFill="1" applyBorder="1" applyAlignment="1">
      <alignment horizontal="left" vertical="center" indent="1"/>
    </xf>
    <xf numFmtId="0" fontId="8" fillId="12" borderId="18" xfId="0" applyFont="1" applyFill="1" applyBorder="1" applyAlignment="1">
      <alignment horizontal="left" vertical="center" indent="1"/>
    </xf>
    <xf numFmtId="0" fontId="8" fillId="0" borderId="20"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17" xfId="0" applyFont="1" applyBorder="1" applyAlignment="1">
      <alignment horizontal="center" vertical="center"/>
    </xf>
    <xf numFmtId="0" fontId="9" fillId="0" borderId="13" xfId="0" applyFont="1" applyBorder="1" applyAlignment="1">
      <alignment horizontal="left" vertical="center"/>
    </xf>
    <xf numFmtId="49" fontId="31" fillId="11" borderId="9" xfId="0" applyNumberFormat="1" applyFont="1" applyFill="1" applyBorder="1" applyAlignment="1">
      <alignment horizontal="center"/>
    </xf>
    <xf numFmtId="49" fontId="31" fillId="11" borderId="10" xfId="0" applyNumberFormat="1" applyFont="1" applyFill="1" applyBorder="1" applyAlignment="1">
      <alignment horizontal="center"/>
    </xf>
    <xf numFmtId="49" fontId="32" fillId="4" borderId="22" xfId="0" applyNumberFormat="1" applyFont="1" applyFill="1" applyBorder="1" applyAlignment="1">
      <alignment horizontal="center" vertical="center"/>
    </xf>
    <xf numFmtId="49" fontId="32" fillId="4" borderId="23" xfId="0" applyNumberFormat="1" applyFont="1" applyFill="1" applyBorder="1" applyAlignment="1">
      <alignment horizontal="center" vertical="center"/>
    </xf>
    <xf numFmtId="49" fontId="32" fillId="4" borderId="4" xfId="0" applyNumberFormat="1" applyFont="1" applyFill="1" applyBorder="1" applyAlignment="1">
      <alignment horizontal="center" vertical="center"/>
    </xf>
    <xf numFmtId="49" fontId="46" fillId="11" borderId="23" xfId="0" applyNumberFormat="1" applyFont="1" applyFill="1" applyBorder="1" applyAlignment="1">
      <alignment horizontal="center" vertical="center"/>
    </xf>
    <xf numFmtId="49" fontId="33" fillId="3" borderId="22" xfId="0" applyNumberFormat="1" applyFont="1" applyFill="1" applyBorder="1" applyAlignment="1">
      <alignment horizontal="center" vertical="center"/>
    </xf>
    <xf numFmtId="49" fontId="33" fillId="3" borderId="23" xfId="0" applyNumberFormat="1" applyFont="1" applyFill="1" applyBorder="1" applyAlignment="1">
      <alignment horizontal="center" vertical="center"/>
    </xf>
    <xf numFmtId="49" fontId="33" fillId="3" borderId="4" xfId="0" applyNumberFormat="1" applyFont="1" applyFill="1" applyBorder="1" applyAlignment="1">
      <alignment horizontal="center" vertical="center"/>
    </xf>
    <xf numFmtId="49" fontId="7" fillId="11" borderId="0" xfId="0" applyNumberFormat="1" applyFont="1" applyFill="1" applyAlignment="1">
      <alignment horizontal="center" vertical="center"/>
    </xf>
    <xf numFmtId="0" fontId="17" fillId="0" borderId="6" xfId="0" applyFont="1" applyBorder="1" applyAlignment="1">
      <alignment horizontal="center" vertical="center"/>
    </xf>
    <xf numFmtId="0" fontId="17" fillId="0" borderId="7" xfId="0" applyFont="1" applyBorder="1" applyAlignment="1">
      <alignment horizontal="center" vertical="center"/>
    </xf>
    <xf numFmtId="0" fontId="17" fillId="0" borderId="8" xfId="0" applyFont="1" applyBorder="1" applyAlignment="1">
      <alignment horizontal="center" vertical="center"/>
    </xf>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9" fillId="0" borderId="12" xfId="0" applyFont="1" applyBorder="1" applyAlignment="1">
      <alignment horizontal="center" vertical="center"/>
    </xf>
    <xf numFmtId="0" fontId="19" fillId="11" borderId="0" xfId="0" applyFont="1" applyFill="1" applyAlignment="1">
      <alignment horizontal="center" vertical="center"/>
    </xf>
    <xf numFmtId="0" fontId="49" fillId="4" borderId="15" xfId="0" applyFont="1" applyFill="1" applyBorder="1" applyAlignment="1">
      <alignment horizontal="left" vertical="center"/>
    </xf>
    <xf numFmtId="0" fontId="22" fillId="0" borderId="15" xfId="0" applyFont="1" applyBorder="1" applyAlignment="1">
      <alignment horizontal="center" vertical="center"/>
    </xf>
    <xf numFmtId="0" fontId="22" fillId="0" borderId="16" xfId="0" applyFont="1" applyBorder="1" applyAlignment="1">
      <alignment horizontal="center" vertical="center"/>
    </xf>
    <xf numFmtId="49" fontId="20" fillId="8" borderId="22" xfId="0" applyNumberFormat="1" applyFont="1" applyFill="1" applyBorder="1" applyAlignment="1">
      <alignment horizontal="center" vertical="center" wrapText="1"/>
    </xf>
    <xf numFmtId="49" fontId="20" fillId="8" borderId="23" xfId="0" applyNumberFormat="1" applyFont="1" applyFill="1" applyBorder="1" applyAlignment="1">
      <alignment horizontal="center" vertical="center" wrapText="1"/>
    </xf>
    <xf numFmtId="49" fontId="20" fillId="8" borderId="4" xfId="0" applyNumberFormat="1" applyFont="1" applyFill="1" applyBorder="1" applyAlignment="1">
      <alignment horizontal="center" vertical="center" wrapText="1"/>
    </xf>
    <xf numFmtId="0" fontId="22" fillId="11" borderId="35" xfId="0" applyFont="1" applyFill="1" applyBorder="1" applyAlignment="1">
      <alignment horizontal="center"/>
    </xf>
    <xf numFmtId="49" fontId="20" fillId="2" borderId="22" xfId="0" applyNumberFormat="1" applyFont="1" applyFill="1" applyBorder="1" applyAlignment="1">
      <alignment horizontal="center" vertical="center" wrapText="1"/>
    </xf>
    <xf numFmtId="49" fontId="20" fillId="2" borderId="23" xfId="0" applyNumberFormat="1" applyFont="1" applyFill="1" applyBorder="1" applyAlignment="1">
      <alignment horizontal="center" vertical="center" wrapText="1"/>
    </xf>
    <xf numFmtId="49" fontId="20" fillId="2" borderId="4" xfId="0" applyNumberFormat="1" applyFont="1" applyFill="1" applyBorder="1" applyAlignment="1">
      <alignment horizontal="center" vertical="center" wrapText="1"/>
    </xf>
    <xf numFmtId="49" fontId="20" fillId="9" borderId="22" xfId="0" applyNumberFormat="1" applyFont="1" applyFill="1" applyBorder="1" applyAlignment="1">
      <alignment horizontal="center" vertical="center" wrapText="1"/>
    </xf>
    <xf numFmtId="49" fontId="20" fillId="9" borderId="23" xfId="0" applyNumberFormat="1" applyFont="1" applyFill="1" applyBorder="1" applyAlignment="1">
      <alignment horizontal="center" vertical="center" wrapText="1"/>
    </xf>
    <xf numFmtId="49" fontId="20" fillId="9" borderId="4" xfId="0" applyNumberFormat="1" applyFont="1" applyFill="1" applyBorder="1" applyAlignment="1">
      <alignment horizontal="center" vertical="center" wrapText="1"/>
    </xf>
    <xf numFmtId="0" fontId="34" fillId="11" borderId="0" xfId="0" applyFont="1" applyFill="1" applyAlignment="1">
      <alignment horizontal="center" vertical="center"/>
    </xf>
    <xf numFmtId="0" fontId="20" fillId="4" borderId="22" xfId="0" applyFont="1" applyFill="1" applyBorder="1" applyAlignment="1">
      <alignment horizontal="center" vertical="center"/>
    </xf>
    <xf numFmtId="0" fontId="20" fillId="4" borderId="23" xfId="0" applyFont="1" applyFill="1" applyBorder="1" applyAlignment="1">
      <alignment horizontal="center" vertical="center"/>
    </xf>
    <xf numFmtId="0" fontId="20" fillId="4" borderId="4" xfId="0" applyFont="1" applyFill="1" applyBorder="1" applyAlignment="1">
      <alignment horizontal="center" vertical="center"/>
    </xf>
    <xf numFmtId="0" fontId="4" fillId="11" borderId="22" xfId="0" applyFont="1" applyFill="1" applyBorder="1" applyAlignment="1">
      <alignment horizontal="center" vertical="center"/>
    </xf>
    <xf numFmtId="0" fontId="4" fillId="11" borderId="23" xfId="0" applyFont="1" applyFill="1" applyBorder="1" applyAlignment="1">
      <alignment horizontal="center" vertical="center"/>
    </xf>
    <xf numFmtId="0" fontId="4" fillId="11" borderId="4" xfId="0" applyFont="1" applyFill="1" applyBorder="1" applyAlignment="1">
      <alignment horizontal="center" vertical="center"/>
    </xf>
    <xf numFmtId="0" fontId="20" fillId="5" borderId="2" xfId="0" applyFont="1" applyFill="1" applyBorder="1" applyAlignment="1">
      <alignment horizontal="center" vertical="center"/>
    </xf>
    <xf numFmtId="0" fontId="20" fillId="5" borderId="54" xfId="0" applyFont="1" applyFill="1" applyBorder="1" applyAlignment="1">
      <alignment horizontal="center" vertical="center"/>
    </xf>
    <xf numFmtId="0" fontId="4" fillId="5" borderId="1" xfId="0" applyFont="1" applyFill="1" applyBorder="1" applyAlignment="1">
      <alignment horizontal="center" vertical="center"/>
    </xf>
    <xf numFmtId="0" fontId="4" fillId="5" borderId="2" xfId="0" applyFont="1" applyFill="1" applyBorder="1" applyAlignment="1">
      <alignment horizontal="center" vertical="center"/>
    </xf>
    <xf numFmtId="0" fontId="2" fillId="4" borderId="13" xfId="0" applyFont="1" applyFill="1" applyBorder="1" applyAlignment="1">
      <alignment horizontal="left" vertical="center"/>
    </xf>
    <xf numFmtId="0" fontId="22" fillId="0" borderId="25" xfId="0" applyFont="1" applyBorder="1" applyAlignment="1">
      <alignment horizontal="center" vertical="center"/>
    </xf>
    <xf numFmtId="0" fontId="22" fillId="0" borderId="29" xfId="0" applyFont="1" applyBorder="1" applyAlignment="1">
      <alignment horizontal="center" vertical="center"/>
    </xf>
    <xf numFmtId="0" fontId="22" fillId="0" borderId="24" xfId="0" applyFont="1" applyBorder="1" applyAlignment="1">
      <alignment horizontal="center" vertical="center"/>
    </xf>
    <xf numFmtId="0" fontId="22" fillId="0" borderId="13" xfId="0" applyFont="1" applyBorder="1" applyAlignment="1">
      <alignment horizontal="center" vertical="center"/>
    </xf>
    <xf numFmtId="0" fontId="22" fillId="0" borderId="18" xfId="0" applyFont="1" applyBorder="1" applyAlignment="1">
      <alignment horizontal="center" vertical="center"/>
    </xf>
    <xf numFmtId="0" fontId="22" fillId="4" borderId="13" xfId="0" applyFont="1" applyFill="1" applyBorder="1" applyAlignment="1">
      <alignment horizontal="center" vertical="center"/>
    </xf>
    <xf numFmtId="0" fontId="22" fillId="4" borderId="18" xfId="0" applyFont="1" applyFill="1" applyBorder="1" applyAlignment="1">
      <alignment horizontal="center" vertical="center"/>
    </xf>
    <xf numFmtId="0" fontId="13" fillId="4" borderId="0" xfId="0" applyFont="1" applyFill="1" applyAlignment="1">
      <alignment horizontal="center" vertical="center"/>
    </xf>
    <xf numFmtId="0" fontId="49" fillId="4" borderId="25" xfId="0" applyFont="1" applyFill="1" applyBorder="1" applyAlignment="1">
      <alignment horizontal="left" vertical="center"/>
    </xf>
    <xf numFmtId="0" fontId="49" fillId="4" borderId="29" xfId="0" applyFont="1" applyFill="1" applyBorder="1" applyAlignment="1">
      <alignment horizontal="left" vertical="center"/>
    </xf>
    <xf numFmtId="0" fontId="49" fillId="4" borderId="32" xfId="0" applyFont="1" applyFill="1" applyBorder="1" applyAlignment="1">
      <alignment horizontal="left" vertical="center"/>
    </xf>
    <xf numFmtId="0" fontId="22" fillId="4" borderId="13" xfId="0" applyFont="1" applyFill="1" applyBorder="1" applyAlignment="1">
      <alignment horizontal="center" vertical="center" wrapText="1"/>
    </xf>
    <xf numFmtId="0" fontId="22" fillId="4" borderId="18" xfId="0" applyFont="1" applyFill="1" applyBorder="1" applyAlignment="1">
      <alignment horizontal="center" vertical="center" wrapText="1"/>
    </xf>
    <xf numFmtId="0" fontId="49" fillId="4" borderId="30" xfId="0" applyFont="1" applyFill="1" applyBorder="1" applyAlignment="1">
      <alignment horizontal="left" vertical="center"/>
    </xf>
    <xf numFmtId="0" fontId="49" fillId="4" borderId="39" xfId="0" applyFont="1" applyFill="1" applyBorder="1" applyAlignment="1">
      <alignment horizontal="left" vertical="center"/>
    </xf>
    <xf numFmtId="0" fontId="49" fillId="4" borderId="36" xfId="0" applyFont="1" applyFill="1" applyBorder="1" applyAlignment="1">
      <alignment horizontal="left" vertical="center"/>
    </xf>
    <xf numFmtId="0" fontId="22" fillId="4" borderId="20" xfId="0" applyFont="1" applyFill="1" applyBorder="1" applyAlignment="1">
      <alignment horizontal="center" vertical="center"/>
    </xf>
    <xf numFmtId="0" fontId="22" fillId="4" borderId="21" xfId="0" applyFont="1" applyFill="1" applyBorder="1" applyAlignment="1">
      <alignment horizontal="center" vertical="center"/>
    </xf>
    <xf numFmtId="49" fontId="50" fillId="11" borderId="11" xfId="0" applyNumberFormat="1" applyFont="1" applyFill="1" applyBorder="1" applyAlignment="1">
      <alignment horizontal="center" vertical="center"/>
    </xf>
    <xf numFmtId="49" fontId="25" fillId="11" borderId="35" xfId="0" applyNumberFormat="1" applyFont="1" applyFill="1" applyBorder="1" applyAlignment="1">
      <alignment horizontal="center" vertical="center"/>
    </xf>
    <xf numFmtId="49" fontId="25" fillId="11" borderId="9" xfId="0" applyNumberFormat="1" applyFont="1" applyFill="1" applyBorder="1" applyAlignment="1">
      <alignment horizontal="center" vertical="center"/>
    </xf>
    <xf numFmtId="49" fontId="35" fillId="3" borderId="22" xfId="0" applyNumberFormat="1" applyFont="1" applyFill="1" applyBorder="1" applyAlignment="1">
      <alignment horizontal="center" vertical="center"/>
    </xf>
    <xf numFmtId="49" fontId="35" fillId="3" borderId="23" xfId="0" applyNumberFormat="1" applyFont="1" applyFill="1" applyBorder="1" applyAlignment="1">
      <alignment horizontal="center" vertical="center"/>
    </xf>
    <xf numFmtId="49" fontId="35" fillId="3" borderId="4" xfId="0" applyNumberFormat="1" applyFont="1" applyFill="1" applyBorder="1" applyAlignment="1">
      <alignment horizontal="center" vertical="center"/>
    </xf>
    <xf numFmtId="49" fontId="36" fillId="11" borderId="5" xfId="0" applyNumberFormat="1" applyFont="1" applyFill="1" applyBorder="1" applyAlignment="1">
      <alignment horizontal="center" vertical="center"/>
    </xf>
    <xf numFmtId="49" fontId="51" fillId="11" borderId="0" xfId="0" applyNumberFormat="1" applyFont="1" applyFill="1" applyAlignment="1">
      <alignment horizontal="center" vertical="center"/>
    </xf>
    <xf numFmtId="0" fontId="6" fillId="10" borderId="22" xfId="0" applyFont="1" applyFill="1" applyBorder="1" applyAlignment="1">
      <alignment horizontal="center" vertical="center"/>
    </xf>
    <xf numFmtId="0" fontId="6" fillId="10" borderId="23" xfId="0" applyFont="1" applyFill="1" applyBorder="1" applyAlignment="1">
      <alignment horizontal="center" vertical="center"/>
    </xf>
    <xf numFmtId="0" fontId="6" fillId="10" borderId="4" xfId="0" applyFont="1" applyFill="1" applyBorder="1" applyAlignment="1">
      <alignment horizontal="center" vertical="center"/>
    </xf>
    <xf numFmtId="0" fontId="22" fillId="11" borderId="23" xfId="0" applyFont="1" applyFill="1" applyBorder="1" applyAlignment="1">
      <alignment horizontal="center"/>
    </xf>
    <xf numFmtId="0" fontId="19" fillId="11" borderId="9" xfId="0" applyFont="1" applyFill="1" applyBorder="1" applyAlignment="1">
      <alignment horizontal="center" vertical="center"/>
    </xf>
    <xf numFmtId="0" fontId="19" fillId="11" borderId="5" xfId="0" applyFont="1" applyFill="1" applyBorder="1" applyAlignment="1">
      <alignment horizontal="center" vertical="center"/>
    </xf>
    <xf numFmtId="49" fontId="20" fillId="10" borderId="22" xfId="0" applyNumberFormat="1" applyFont="1" applyFill="1" applyBorder="1" applyAlignment="1">
      <alignment horizontal="center" vertical="center"/>
    </xf>
    <xf numFmtId="49" fontId="20" fillId="10" borderId="23" xfId="0" applyNumberFormat="1" applyFont="1" applyFill="1" applyBorder="1" applyAlignment="1">
      <alignment horizontal="center" vertical="center"/>
    </xf>
    <xf numFmtId="49" fontId="20" fillId="10" borderId="4" xfId="0" applyNumberFormat="1" applyFont="1" applyFill="1" applyBorder="1" applyAlignment="1">
      <alignment horizontal="center" vertical="center"/>
    </xf>
    <xf numFmtId="49" fontId="20" fillId="10" borderId="6" xfId="0" applyNumberFormat="1" applyFont="1" applyFill="1" applyBorder="1" applyAlignment="1">
      <alignment horizontal="center" vertical="center"/>
    </xf>
    <xf numFmtId="49" fontId="20" fillId="10" borderId="7" xfId="0" applyNumberFormat="1" applyFont="1" applyFill="1" applyBorder="1" applyAlignment="1">
      <alignment horizontal="center" vertical="center"/>
    </xf>
    <xf numFmtId="49" fontId="20" fillId="10" borderId="8" xfId="0" applyNumberFormat="1" applyFont="1" applyFill="1" applyBorder="1" applyAlignment="1">
      <alignment horizontal="center" vertical="center"/>
    </xf>
    <xf numFmtId="0" fontId="18" fillId="11" borderId="9" xfId="0" applyFont="1" applyFill="1" applyBorder="1" applyAlignment="1">
      <alignment horizontal="center"/>
    </xf>
    <xf numFmtId="49" fontId="24" fillId="11" borderId="5" xfId="0" applyNumberFormat="1" applyFont="1" applyFill="1" applyBorder="1" applyAlignment="1">
      <alignment horizontal="center" vertical="center"/>
    </xf>
  </cellXfs>
  <cellStyles count="2">
    <cellStyle name="Normal" xfId="0" builtinId="0"/>
    <cellStyle name="Vírgula 2" xfId="1" xr:uid="{F148B815-FFD2-4B40-97DE-B882CA3A15FD}"/>
  </cellStyles>
  <dxfs count="0"/>
  <tableStyles count="0" defaultTableStyle="TableStyleMedium2" defaultPivotStyle="PivotStyleLight16"/>
  <colors>
    <mruColors>
      <color rgb="FF0033CC"/>
      <color rgb="FF9900FF"/>
      <color rgb="FF6600CC"/>
      <color rgb="FFFFCCFF"/>
      <color rgb="FFCC99FF"/>
      <color rgb="FFCC9900"/>
      <color rgb="FF000000"/>
      <color rgb="FFCCECFF"/>
      <color rgb="FF000099"/>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99392</xdr:colOff>
      <xdr:row>1</xdr:row>
      <xdr:rowOff>66261</xdr:rowOff>
    </xdr:from>
    <xdr:to>
      <xdr:col>2</xdr:col>
      <xdr:colOff>273327</xdr:colOff>
      <xdr:row>1</xdr:row>
      <xdr:rowOff>730251</xdr:rowOff>
    </xdr:to>
    <xdr:pic>
      <xdr:nvPicPr>
        <xdr:cNvPr id="2" name="Imagem 1" descr="Logotipo&#10;&#10;Descrição gerada automaticamente">
          <a:extLst>
            <a:ext uri="{FF2B5EF4-FFF2-40B4-BE49-F238E27FC236}">
              <a16:creationId xmlns:a16="http://schemas.microsoft.com/office/drawing/2014/main" id="{E5669FBB-C76C-47A1-AA2D-63C4F8AB18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3692" y="190086"/>
          <a:ext cx="612085" cy="663990"/>
        </a:xfrm>
        <a:prstGeom prst="rect">
          <a:avLst/>
        </a:prstGeom>
        <a:solidFill>
          <a:sysClr val="window" lastClr="FFFFFF"/>
        </a:solidFill>
      </xdr:spPr>
    </xdr:pic>
    <xdr:clientData/>
  </xdr:twoCellAnchor>
  <xdr:twoCellAnchor editAs="oneCell">
    <xdr:from>
      <xdr:col>9</xdr:col>
      <xdr:colOff>241019</xdr:colOff>
      <xdr:row>1</xdr:row>
      <xdr:rowOff>66261</xdr:rowOff>
    </xdr:from>
    <xdr:to>
      <xdr:col>9</xdr:col>
      <xdr:colOff>853932</xdr:colOff>
      <xdr:row>1</xdr:row>
      <xdr:rowOff>730251</xdr:rowOff>
    </xdr:to>
    <xdr:pic>
      <xdr:nvPicPr>
        <xdr:cNvPr id="3" name="Imagem 2" descr="Logotipo&#10;&#10;Descrição gerada automaticamente">
          <a:extLst>
            <a:ext uri="{FF2B5EF4-FFF2-40B4-BE49-F238E27FC236}">
              <a16:creationId xmlns:a16="http://schemas.microsoft.com/office/drawing/2014/main" id="{945D3C1E-6253-4DFE-9FB0-FBB763DF8C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27869" y="190086"/>
          <a:ext cx="612913" cy="663990"/>
        </a:xfrm>
        <a:prstGeom prst="rect">
          <a:avLst/>
        </a:prstGeom>
        <a:solidFill>
          <a:sysClr val="window" lastClr="FFFFFF"/>
        </a:solid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105505</xdr:colOff>
      <xdr:row>1</xdr:row>
      <xdr:rowOff>28575</xdr:rowOff>
    </xdr:from>
    <xdr:to>
      <xdr:col>2</xdr:col>
      <xdr:colOff>441810</xdr:colOff>
      <xdr:row>1</xdr:row>
      <xdr:rowOff>857250</xdr:rowOff>
    </xdr:to>
    <xdr:pic>
      <xdr:nvPicPr>
        <xdr:cNvPr id="2" name="Imagem 1" descr="Logotipo&#10;&#10;Descrição gerada automaticamente">
          <a:extLst>
            <a:ext uri="{FF2B5EF4-FFF2-40B4-BE49-F238E27FC236}">
              <a16:creationId xmlns:a16="http://schemas.microsoft.com/office/drawing/2014/main" id="{BCC6764B-FF0B-4261-B343-7C15126309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9805" y="152400"/>
          <a:ext cx="764930" cy="828675"/>
        </a:xfrm>
        <a:prstGeom prst="rect">
          <a:avLst/>
        </a:prstGeom>
        <a:solidFill>
          <a:sysClr val="window" lastClr="FFFFFF"/>
        </a:solidFill>
      </xdr:spPr>
    </xdr:pic>
    <xdr:clientData/>
  </xdr:twoCellAnchor>
  <xdr:twoCellAnchor editAs="oneCell">
    <xdr:from>
      <xdr:col>7</xdr:col>
      <xdr:colOff>1961030</xdr:colOff>
      <xdr:row>1</xdr:row>
      <xdr:rowOff>44824</xdr:rowOff>
    </xdr:from>
    <xdr:to>
      <xdr:col>7</xdr:col>
      <xdr:colOff>2746242</xdr:colOff>
      <xdr:row>1</xdr:row>
      <xdr:rowOff>818742</xdr:rowOff>
    </xdr:to>
    <xdr:pic>
      <xdr:nvPicPr>
        <xdr:cNvPr id="4" name="Imagem 3" descr="Arena61 | Aguas Claras">
          <a:extLst>
            <a:ext uri="{FF2B5EF4-FFF2-40B4-BE49-F238E27FC236}">
              <a16:creationId xmlns:a16="http://schemas.microsoft.com/office/drawing/2014/main" id="{87DDA1DB-E045-45A8-840D-3D4820711B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093824" y="168089"/>
          <a:ext cx="785212" cy="7739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107887</xdr:colOff>
      <xdr:row>1</xdr:row>
      <xdr:rowOff>78580</xdr:rowOff>
    </xdr:from>
    <xdr:to>
      <xdr:col>1</xdr:col>
      <xdr:colOff>657606</xdr:colOff>
      <xdr:row>1</xdr:row>
      <xdr:rowOff>676275</xdr:rowOff>
    </xdr:to>
    <xdr:pic>
      <xdr:nvPicPr>
        <xdr:cNvPr id="2" name="Imagem 1">
          <a:extLst>
            <a:ext uri="{FF2B5EF4-FFF2-40B4-BE49-F238E27FC236}">
              <a16:creationId xmlns:a16="http://schemas.microsoft.com/office/drawing/2014/main" id="{5C3B4E0F-7477-47C7-8A15-364C4816A6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2187" y="202405"/>
          <a:ext cx="549719" cy="597695"/>
        </a:xfrm>
        <a:prstGeom prst="rect">
          <a:avLst/>
        </a:prstGeom>
        <a:solidFill>
          <a:sysClr val="window" lastClr="FFFFFF"/>
        </a:solidFill>
      </xdr:spPr>
    </xdr:pic>
    <xdr:clientData/>
  </xdr:twoCellAnchor>
  <xdr:twoCellAnchor editAs="oneCell">
    <xdr:from>
      <xdr:col>10</xdr:col>
      <xdr:colOff>2466975</xdr:colOff>
      <xdr:row>1</xdr:row>
      <xdr:rowOff>67235</xdr:rowOff>
    </xdr:from>
    <xdr:to>
      <xdr:col>12</xdr:col>
      <xdr:colOff>20732</xdr:colOff>
      <xdr:row>1</xdr:row>
      <xdr:rowOff>708617</xdr:rowOff>
    </xdr:to>
    <xdr:pic>
      <xdr:nvPicPr>
        <xdr:cNvPr id="4" name="Imagem 3" descr="Arena61 | Aguas Claras">
          <a:extLst>
            <a:ext uri="{FF2B5EF4-FFF2-40B4-BE49-F238E27FC236}">
              <a16:creationId xmlns:a16="http://schemas.microsoft.com/office/drawing/2014/main" id="{50C24F7C-02F3-5E91-0AF3-10B738A9BEE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144250" y="191060"/>
          <a:ext cx="649382" cy="641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94090</xdr:colOff>
      <xdr:row>1</xdr:row>
      <xdr:rowOff>77881</xdr:rowOff>
    </xdr:from>
    <xdr:to>
      <xdr:col>2</xdr:col>
      <xdr:colOff>66980</xdr:colOff>
      <xdr:row>1</xdr:row>
      <xdr:rowOff>677956</xdr:rowOff>
    </xdr:to>
    <xdr:pic>
      <xdr:nvPicPr>
        <xdr:cNvPr id="2" name="Imagem 1" descr="Logotipo&#10;&#10;Descrição gerada automaticamente">
          <a:extLst>
            <a:ext uri="{FF2B5EF4-FFF2-40B4-BE49-F238E27FC236}">
              <a16:creationId xmlns:a16="http://schemas.microsoft.com/office/drawing/2014/main" id="{083EA644-3A46-4DE1-AD01-13972303EA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6149" y="201146"/>
          <a:ext cx="555596" cy="600075"/>
        </a:xfrm>
        <a:prstGeom prst="rect">
          <a:avLst/>
        </a:prstGeom>
        <a:solidFill>
          <a:sysClr val="window" lastClr="FFFFFF"/>
        </a:solidFill>
      </xdr:spPr>
    </xdr:pic>
    <xdr:clientData/>
  </xdr:twoCellAnchor>
  <xdr:twoCellAnchor editAs="oneCell">
    <xdr:from>
      <xdr:col>10</xdr:col>
      <xdr:colOff>2667005</xdr:colOff>
      <xdr:row>1</xdr:row>
      <xdr:rowOff>56028</xdr:rowOff>
    </xdr:from>
    <xdr:to>
      <xdr:col>11</xdr:col>
      <xdr:colOff>516276</xdr:colOff>
      <xdr:row>1</xdr:row>
      <xdr:rowOff>697410</xdr:rowOff>
    </xdr:to>
    <xdr:pic>
      <xdr:nvPicPr>
        <xdr:cNvPr id="4" name="Imagem 3" descr="Arena61 | Aguas Claras">
          <a:extLst>
            <a:ext uri="{FF2B5EF4-FFF2-40B4-BE49-F238E27FC236}">
              <a16:creationId xmlns:a16="http://schemas.microsoft.com/office/drawing/2014/main" id="{A1C64E15-0882-427A-AA74-C5A1589B23D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76652" y="179293"/>
          <a:ext cx="650742" cy="641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43483</xdr:colOff>
      <xdr:row>1</xdr:row>
      <xdr:rowOff>24847</xdr:rowOff>
    </xdr:from>
    <xdr:to>
      <xdr:col>1</xdr:col>
      <xdr:colOff>703044</xdr:colOff>
      <xdr:row>1</xdr:row>
      <xdr:rowOff>738025</xdr:rowOff>
    </xdr:to>
    <xdr:pic>
      <xdr:nvPicPr>
        <xdr:cNvPr id="2" name="Imagem 1" descr="Logotipo&#10;&#10;Descrição gerada automaticamente">
          <a:extLst>
            <a:ext uri="{FF2B5EF4-FFF2-40B4-BE49-F238E27FC236}">
              <a16:creationId xmlns:a16="http://schemas.microsoft.com/office/drawing/2014/main" id="{0EB4B223-A7A0-44ED-A766-9118B231F5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7783" y="148672"/>
          <a:ext cx="659561" cy="713178"/>
        </a:xfrm>
        <a:prstGeom prst="rect">
          <a:avLst/>
        </a:prstGeom>
        <a:solidFill>
          <a:sysClr val="window" lastClr="FFFFFF"/>
        </a:solidFill>
      </xdr:spPr>
    </xdr:pic>
    <xdr:clientData/>
  </xdr:twoCellAnchor>
  <xdr:twoCellAnchor editAs="oneCell">
    <xdr:from>
      <xdr:col>14</xdr:col>
      <xdr:colOff>448237</xdr:colOff>
      <xdr:row>1</xdr:row>
      <xdr:rowOff>67236</xdr:rowOff>
    </xdr:from>
    <xdr:to>
      <xdr:col>15</xdr:col>
      <xdr:colOff>516273</xdr:colOff>
      <xdr:row>1</xdr:row>
      <xdr:rowOff>708618</xdr:rowOff>
    </xdr:to>
    <xdr:pic>
      <xdr:nvPicPr>
        <xdr:cNvPr id="4" name="Imagem 3" descr="Arena61 | Aguas Claras">
          <a:extLst>
            <a:ext uri="{FF2B5EF4-FFF2-40B4-BE49-F238E27FC236}">
              <a16:creationId xmlns:a16="http://schemas.microsoft.com/office/drawing/2014/main" id="{3F665F9B-DD5B-495F-BD94-3C11D35136F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867031" y="190501"/>
          <a:ext cx="650742" cy="6413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24152-EDC3-4329-8069-4B88DEE52D88}">
  <sheetPr>
    <pageSetUpPr fitToPage="1"/>
  </sheetPr>
  <dimension ref="A1:K55"/>
  <sheetViews>
    <sheetView zoomScaleNormal="100" workbookViewId="0">
      <selection activeCell="K2" sqref="A1:K54"/>
    </sheetView>
  </sheetViews>
  <sheetFormatPr baseColWidth="10" defaultColWidth="8.83203125" defaultRowHeight="15" x14ac:dyDescent="0.2"/>
  <cols>
    <col min="1" max="1" width="1.6640625" customWidth="1"/>
    <col min="2" max="2" width="6.5" customWidth="1"/>
    <col min="3" max="3" width="21.83203125" bestFit="1" customWidth="1"/>
    <col min="4" max="4" width="43" bestFit="1" customWidth="1"/>
    <col min="5" max="5" width="19.6640625" customWidth="1"/>
    <col min="6" max="6" width="5.33203125" customWidth="1"/>
    <col min="7" max="9" width="12.6640625" customWidth="1"/>
    <col min="10" max="10" width="13.6640625" customWidth="1"/>
    <col min="11" max="11" width="1.6640625" customWidth="1"/>
    <col min="12" max="12" width="5.6640625" customWidth="1"/>
    <col min="14" max="14" width="39.5" customWidth="1"/>
  </cols>
  <sheetData>
    <row r="1" spans="1:11" ht="10" customHeight="1" thickTop="1" thickBot="1" x14ac:dyDescent="0.25">
      <c r="A1" s="260"/>
      <c r="B1" s="261"/>
      <c r="C1" s="261"/>
      <c r="D1" s="261"/>
      <c r="E1" s="261"/>
      <c r="F1" s="261"/>
      <c r="G1" s="261"/>
      <c r="H1" s="261"/>
      <c r="I1" s="261"/>
      <c r="J1" s="261"/>
      <c r="K1" s="262"/>
    </row>
    <row r="2" spans="1:11" ht="64.5" customHeight="1" thickTop="1" thickBot="1" x14ac:dyDescent="0.25">
      <c r="A2" s="263"/>
      <c r="B2" s="265" t="s">
        <v>104</v>
      </c>
      <c r="C2" s="265"/>
      <c r="D2" s="265"/>
      <c r="E2" s="265"/>
      <c r="F2" s="265"/>
      <c r="G2" s="265"/>
      <c r="H2" s="265"/>
      <c r="I2" s="265"/>
      <c r="J2" s="265"/>
      <c r="K2" s="266"/>
    </row>
    <row r="3" spans="1:11" ht="50" customHeight="1" thickTop="1" thickBot="1" x14ac:dyDescent="0.25">
      <c r="A3" s="263"/>
      <c r="B3" s="268" t="s">
        <v>122</v>
      </c>
      <c r="C3" s="268"/>
      <c r="D3" s="268"/>
      <c r="E3" s="268"/>
      <c r="F3" s="268"/>
      <c r="G3" s="268"/>
      <c r="H3" s="268"/>
      <c r="I3" s="268"/>
      <c r="J3" s="268"/>
      <c r="K3" s="266"/>
    </row>
    <row r="4" spans="1:11" ht="50" customHeight="1" thickTop="1" thickBot="1" x14ac:dyDescent="0.25">
      <c r="A4" s="263"/>
      <c r="B4" s="265" t="s">
        <v>110</v>
      </c>
      <c r="C4" s="265"/>
      <c r="D4" s="265"/>
      <c r="E4" s="265"/>
      <c r="F4" s="265"/>
      <c r="G4" s="265"/>
      <c r="H4" s="265"/>
      <c r="I4" s="265"/>
      <c r="J4" s="265"/>
      <c r="K4" s="266"/>
    </row>
    <row r="5" spans="1:11" ht="30" customHeight="1" thickTop="1" thickBot="1" x14ac:dyDescent="0.25">
      <c r="A5" s="263"/>
      <c r="B5" s="258" t="s">
        <v>112</v>
      </c>
      <c r="C5" s="258" t="s">
        <v>113</v>
      </c>
      <c r="D5" s="258" t="s">
        <v>114</v>
      </c>
      <c r="E5" s="258" t="s">
        <v>115</v>
      </c>
      <c r="F5" s="258" t="s">
        <v>116</v>
      </c>
      <c r="G5" s="60" t="s">
        <v>105</v>
      </c>
      <c r="H5" s="60" t="s">
        <v>34</v>
      </c>
      <c r="I5" s="60" t="s">
        <v>63</v>
      </c>
      <c r="J5" s="258" t="s">
        <v>117</v>
      </c>
      <c r="K5" s="266"/>
    </row>
    <row r="6" spans="1:11" ht="36" customHeight="1" thickTop="1" thickBot="1" x14ac:dyDescent="0.25">
      <c r="A6" s="263"/>
      <c r="B6" s="258"/>
      <c r="C6" s="258"/>
      <c r="D6" s="258"/>
      <c r="E6" s="258"/>
      <c r="F6" s="258"/>
      <c r="G6" s="60" t="s">
        <v>111</v>
      </c>
      <c r="H6" s="60" t="s">
        <v>120</v>
      </c>
      <c r="I6" s="60" t="s">
        <v>237</v>
      </c>
      <c r="J6" s="258"/>
      <c r="K6" s="266"/>
    </row>
    <row r="7" spans="1:11" ht="30" customHeight="1" thickTop="1" thickBot="1" x14ac:dyDescent="0.25">
      <c r="A7" s="263"/>
      <c r="B7" s="259">
        <v>1</v>
      </c>
      <c r="C7" s="52" t="s">
        <v>207</v>
      </c>
      <c r="D7" s="61" t="s">
        <v>166</v>
      </c>
      <c r="E7" s="51" t="s">
        <v>168</v>
      </c>
      <c r="F7" s="51" t="s">
        <v>118</v>
      </c>
      <c r="G7" s="51">
        <v>200</v>
      </c>
      <c r="H7" s="51">
        <v>200</v>
      </c>
      <c r="I7" s="51">
        <v>200</v>
      </c>
      <c r="J7" s="53">
        <f t="shared" ref="J7:J53" si="0">SUM(G7:I7)</f>
        <v>600</v>
      </c>
      <c r="K7" s="266"/>
    </row>
    <row r="8" spans="1:11" ht="30" customHeight="1" thickTop="1" thickBot="1" x14ac:dyDescent="0.25">
      <c r="A8" s="263"/>
      <c r="B8" s="259"/>
      <c r="C8" s="52" t="s">
        <v>161</v>
      </c>
      <c r="D8" s="61" t="s">
        <v>167</v>
      </c>
      <c r="E8" s="51"/>
      <c r="F8" s="51" t="s">
        <v>118</v>
      </c>
      <c r="G8" s="51">
        <v>200</v>
      </c>
      <c r="H8" s="51">
        <v>200</v>
      </c>
      <c r="I8" s="51">
        <v>200</v>
      </c>
      <c r="J8" s="53">
        <f t="shared" si="0"/>
        <v>600</v>
      </c>
      <c r="K8" s="266"/>
    </row>
    <row r="9" spans="1:11" ht="30" customHeight="1" thickTop="1" thickBot="1" x14ac:dyDescent="0.25">
      <c r="A9" s="263"/>
      <c r="B9" s="154">
        <v>2</v>
      </c>
      <c r="C9" s="55" t="s">
        <v>124</v>
      </c>
      <c r="D9" s="55" t="s">
        <v>206</v>
      </c>
      <c r="E9" s="54" t="s">
        <v>169</v>
      </c>
      <c r="F9" s="54" t="s">
        <v>118</v>
      </c>
      <c r="G9" s="54">
        <v>180</v>
      </c>
      <c r="H9" s="54">
        <v>120</v>
      </c>
      <c r="I9" s="54">
        <v>160</v>
      </c>
      <c r="J9" s="56">
        <f t="shared" si="0"/>
        <v>460</v>
      </c>
      <c r="K9" s="266"/>
    </row>
    <row r="10" spans="1:11" ht="30" customHeight="1" thickTop="1" thickBot="1" x14ac:dyDescent="0.25">
      <c r="A10" s="263"/>
      <c r="B10" s="51">
        <v>3</v>
      </c>
      <c r="C10" s="52" t="s">
        <v>128</v>
      </c>
      <c r="D10" s="52" t="s">
        <v>172</v>
      </c>
      <c r="E10" s="51" t="s">
        <v>173</v>
      </c>
      <c r="F10" s="51" t="s">
        <v>118</v>
      </c>
      <c r="G10" s="51">
        <v>140</v>
      </c>
      <c r="H10" s="51">
        <v>140</v>
      </c>
      <c r="I10" s="51">
        <v>180</v>
      </c>
      <c r="J10" s="53">
        <f t="shared" si="0"/>
        <v>460</v>
      </c>
      <c r="K10" s="266"/>
    </row>
    <row r="11" spans="1:11" ht="30" customHeight="1" thickTop="1" thickBot="1" x14ac:dyDescent="0.25">
      <c r="A11" s="263"/>
      <c r="B11" s="54">
        <v>4</v>
      </c>
      <c r="C11" s="55" t="s">
        <v>129</v>
      </c>
      <c r="D11" s="55" t="s">
        <v>174</v>
      </c>
      <c r="E11" s="54" t="s">
        <v>173</v>
      </c>
      <c r="F11" s="54" t="s">
        <v>118</v>
      </c>
      <c r="G11" s="54">
        <v>120</v>
      </c>
      <c r="H11" s="54">
        <v>120</v>
      </c>
      <c r="I11" s="54">
        <v>120</v>
      </c>
      <c r="J11" s="56">
        <f t="shared" si="0"/>
        <v>360</v>
      </c>
      <c r="K11" s="266"/>
    </row>
    <row r="12" spans="1:11" ht="30" customHeight="1" thickTop="1" thickBot="1" x14ac:dyDescent="0.25">
      <c r="A12" s="263"/>
      <c r="B12" s="51">
        <v>5</v>
      </c>
      <c r="C12" s="52" t="s">
        <v>265</v>
      </c>
      <c r="D12" s="52" t="s">
        <v>190</v>
      </c>
      <c r="E12" s="51"/>
      <c r="F12" s="51" t="s">
        <v>118</v>
      </c>
      <c r="G12" s="51">
        <v>0</v>
      </c>
      <c r="H12" s="51">
        <v>160</v>
      </c>
      <c r="I12" s="51">
        <v>180</v>
      </c>
      <c r="J12" s="53">
        <f t="shared" si="0"/>
        <v>340</v>
      </c>
      <c r="K12" s="266"/>
    </row>
    <row r="13" spans="1:11" ht="30" customHeight="1" thickTop="1" thickBot="1" x14ac:dyDescent="0.25">
      <c r="A13" s="263"/>
      <c r="B13" s="54">
        <v>6</v>
      </c>
      <c r="C13" s="55" t="s">
        <v>262</v>
      </c>
      <c r="D13" s="55" t="s">
        <v>175</v>
      </c>
      <c r="E13" s="54" t="s">
        <v>173</v>
      </c>
      <c r="F13" s="54" t="s">
        <v>118</v>
      </c>
      <c r="G13" s="54">
        <v>120</v>
      </c>
      <c r="H13" s="54">
        <v>100</v>
      </c>
      <c r="I13" s="54">
        <v>120</v>
      </c>
      <c r="J13" s="56">
        <f t="shared" si="0"/>
        <v>340</v>
      </c>
      <c r="K13" s="266"/>
    </row>
    <row r="14" spans="1:11" ht="30" customHeight="1" thickTop="1" thickBot="1" x14ac:dyDescent="0.25">
      <c r="A14" s="263"/>
      <c r="B14" s="252">
        <v>7</v>
      </c>
      <c r="C14" s="52" t="s">
        <v>138</v>
      </c>
      <c r="D14" s="52" t="s">
        <v>176</v>
      </c>
      <c r="E14" s="51"/>
      <c r="F14" s="51" t="s">
        <v>118</v>
      </c>
      <c r="G14" s="51">
        <v>100</v>
      </c>
      <c r="H14" s="51">
        <v>100</v>
      </c>
      <c r="I14" s="51">
        <v>120</v>
      </c>
      <c r="J14" s="53">
        <f t="shared" si="0"/>
        <v>320</v>
      </c>
      <c r="K14" s="266"/>
    </row>
    <row r="15" spans="1:11" ht="30" customHeight="1" thickTop="1" thickBot="1" x14ac:dyDescent="0.25">
      <c r="A15" s="263"/>
      <c r="B15" s="257"/>
      <c r="C15" s="52" t="s">
        <v>139</v>
      </c>
      <c r="D15" s="52" t="s">
        <v>177</v>
      </c>
      <c r="E15" s="51"/>
      <c r="F15" s="51" t="s">
        <v>118</v>
      </c>
      <c r="G15" s="51">
        <v>100</v>
      </c>
      <c r="H15" s="51">
        <v>100</v>
      </c>
      <c r="I15" s="51">
        <v>120</v>
      </c>
      <c r="J15" s="53">
        <f t="shared" si="0"/>
        <v>320</v>
      </c>
      <c r="K15" s="266"/>
    </row>
    <row r="16" spans="1:11" ht="30" customHeight="1" thickTop="1" thickBot="1" x14ac:dyDescent="0.25">
      <c r="A16" s="263"/>
      <c r="B16" s="253"/>
      <c r="C16" s="52" t="s">
        <v>141</v>
      </c>
      <c r="D16" s="52" t="s">
        <v>178</v>
      </c>
      <c r="E16" s="51" t="s">
        <v>168</v>
      </c>
      <c r="F16" s="51" t="s">
        <v>118</v>
      </c>
      <c r="G16" s="51">
        <v>100</v>
      </c>
      <c r="H16" s="51">
        <v>100</v>
      </c>
      <c r="I16" s="51">
        <v>120</v>
      </c>
      <c r="J16" s="53">
        <f t="shared" si="0"/>
        <v>320</v>
      </c>
      <c r="K16" s="266"/>
    </row>
    <row r="17" spans="1:11" ht="30" customHeight="1" thickTop="1" thickBot="1" x14ac:dyDescent="0.25">
      <c r="A17" s="263"/>
      <c r="B17" s="54">
        <v>8</v>
      </c>
      <c r="C17" s="55" t="s">
        <v>135</v>
      </c>
      <c r="D17" s="55" t="s">
        <v>170</v>
      </c>
      <c r="E17" s="54"/>
      <c r="F17" s="54" t="s">
        <v>143</v>
      </c>
      <c r="G17" s="54">
        <v>120</v>
      </c>
      <c r="H17" s="54">
        <v>180</v>
      </c>
      <c r="I17" s="54">
        <v>0</v>
      </c>
      <c r="J17" s="56">
        <f t="shared" si="0"/>
        <v>300</v>
      </c>
      <c r="K17" s="266"/>
    </row>
    <row r="18" spans="1:11" ht="30" customHeight="1" thickTop="1" thickBot="1" x14ac:dyDescent="0.25">
      <c r="A18" s="263"/>
      <c r="B18" s="252">
        <v>9</v>
      </c>
      <c r="C18" s="52" t="s">
        <v>123</v>
      </c>
      <c r="D18" s="52" t="s">
        <v>171</v>
      </c>
      <c r="E18" s="51" t="s">
        <v>169</v>
      </c>
      <c r="F18" s="51" t="s">
        <v>118</v>
      </c>
      <c r="G18" s="51">
        <v>180</v>
      </c>
      <c r="H18" s="51">
        <v>100</v>
      </c>
      <c r="I18" s="51">
        <v>0</v>
      </c>
      <c r="J18" s="53">
        <f t="shared" si="0"/>
        <v>280</v>
      </c>
      <c r="K18" s="266"/>
    </row>
    <row r="19" spans="1:11" ht="30" customHeight="1" thickTop="1" thickBot="1" x14ac:dyDescent="0.25">
      <c r="A19" s="263"/>
      <c r="B19" s="253"/>
      <c r="C19" s="52" t="s">
        <v>144</v>
      </c>
      <c r="D19" s="52" t="s">
        <v>188</v>
      </c>
      <c r="E19" s="51" t="s">
        <v>243</v>
      </c>
      <c r="F19" s="51" t="s">
        <v>143</v>
      </c>
      <c r="G19" s="51">
        <v>0</v>
      </c>
      <c r="H19" s="51">
        <v>180</v>
      </c>
      <c r="I19" s="51">
        <v>100</v>
      </c>
      <c r="J19" s="53">
        <f t="shared" si="0"/>
        <v>280</v>
      </c>
      <c r="K19" s="266"/>
    </row>
    <row r="20" spans="1:11" ht="30" customHeight="1" thickTop="1" thickBot="1" x14ac:dyDescent="0.25">
      <c r="A20" s="263"/>
      <c r="B20" s="54">
        <v>10</v>
      </c>
      <c r="C20" s="55" t="s">
        <v>264</v>
      </c>
      <c r="D20" s="55" t="s">
        <v>195</v>
      </c>
      <c r="E20" s="54" t="s">
        <v>169</v>
      </c>
      <c r="F20" s="54" t="s">
        <v>118</v>
      </c>
      <c r="G20" s="54">
        <v>0</v>
      </c>
      <c r="H20" s="54">
        <v>120</v>
      </c>
      <c r="I20" s="54">
        <v>160</v>
      </c>
      <c r="J20" s="56">
        <f t="shared" si="0"/>
        <v>280</v>
      </c>
      <c r="K20" s="266"/>
    </row>
    <row r="21" spans="1:11" ht="30" customHeight="1" thickTop="1" thickBot="1" x14ac:dyDescent="0.25">
      <c r="A21" s="263"/>
      <c r="B21" s="51">
        <v>11</v>
      </c>
      <c r="C21" s="52" t="s">
        <v>148</v>
      </c>
      <c r="D21" s="52" t="s">
        <v>197</v>
      </c>
      <c r="E21" s="62" t="s">
        <v>198</v>
      </c>
      <c r="F21" s="51" t="s">
        <v>118</v>
      </c>
      <c r="G21" s="51">
        <v>0</v>
      </c>
      <c r="H21" s="51">
        <v>120</v>
      </c>
      <c r="I21" s="51">
        <v>140</v>
      </c>
      <c r="J21" s="53">
        <f t="shared" si="0"/>
        <v>260</v>
      </c>
      <c r="K21" s="266"/>
    </row>
    <row r="22" spans="1:11" ht="30" customHeight="1" thickTop="1" thickBot="1" x14ac:dyDescent="0.25">
      <c r="A22" s="263"/>
      <c r="B22" s="254">
        <v>12</v>
      </c>
      <c r="C22" s="55" t="s">
        <v>145</v>
      </c>
      <c r="D22" s="55" t="s">
        <v>189</v>
      </c>
      <c r="E22" s="54"/>
      <c r="F22" s="54" t="s">
        <v>118</v>
      </c>
      <c r="G22" s="54">
        <v>0</v>
      </c>
      <c r="H22" s="54">
        <v>140</v>
      </c>
      <c r="I22" s="54">
        <v>100</v>
      </c>
      <c r="J22" s="56">
        <f t="shared" si="0"/>
        <v>240</v>
      </c>
      <c r="K22" s="266"/>
    </row>
    <row r="23" spans="1:11" ht="30" customHeight="1" thickTop="1" thickBot="1" x14ac:dyDescent="0.25">
      <c r="A23" s="263"/>
      <c r="B23" s="255"/>
      <c r="C23" s="55" t="s">
        <v>153</v>
      </c>
      <c r="D23" s="55" t="s">
        <v>270</v>
      </c>
      <c r="E23" s="54" t="s">
        <v>169</v>
      </c>
      <c r="F23" s="54" t="s">
        <v>118</v>
      </c>
      <c r="G23" s="54">
        <v>0</v>
      </c>
      <c r="H23" s="54">
        <v>100</v>
      </c>
      <c r="I23" s="54">
        <v>140</v>
      </c>
      <c r="J23" s="56">
        <f t="shared" si="0"/>
        <v>240</v>
      </c>
      <c r="K23" s="266"/>
    </row>
    <row r="24" spans="1:11" ht="30" customHeight="1" thickTop="1" thickBot="1" x14ac:dyDescent="0.25">
      <c r="A24" s="263"/>
      <c r="B24" s="51">
        <v>13</v>
      </c>
      <c r="C24" s="52" t="s">
        <v>146</v>
      </c>
      <c r="D24" s="52" t="s">
        <v>192</v>
      </c>
      <c r="E24" s="51" t="s">
        <v>173</v>
      </c>
      <c r="F24" s="51" t="s">
        <v>118</v>
      </c>
      <c r="G24" s="51">
        <v>0</v>
      </c>
      <c r="H24" s="51">
        <v>120</v>
      </c>
      <c r="I24" s="51">
        <v>120</v>
      </c>
      <c r="J24" s="53">
        <f t="shared" si="0"/>
        <v>240</v>
      </c>
      <c r="K24" s="266"/>
    </row>
    <row r="25" spans="1:11" ht="30" customHeight="1" thickTop="1" thickBot="1" x14ac:dyDescent="0.25">
      <c r="A25" s="263"/>
      <c r="B25" s="254">
        <v>14</v>
      </c>
      <c r="C25" s="55" t="s">
        <v>159</v>
      </c>
      <c r="D25" s="55" t="s">
        <v>200</v>
      </c>
      <c r="E25" s="54"/>
      <c r="F25" s="54" t="s">
        <v>118</v>
      </c>
      <c r="G25" s="54">
        <v>0</v>
      </c>
      <c r="H25" s="54">
        <v>100</v>
      </c>
      <c r="I25" s="54">
        <v>120</v>
      </c>
      <c r="J25" s="56">
        <f t="shared" si="0"/>
        <v>220</v>
      </c>
      <c r="K25" s="266"/>
    </row>
    <row r="26" spans="1:11" ht="30" customHeight="1" thickTop="1" thickBot="1" x14ac:dyDescent="0.25">
      <c r="A26" s="263"/>
      <c r="B26" s="256"/>
      <c r="C26" s="55" t="s">
        <v>150</v>
      </c>
      <c r="D26" s="55" t="s">
        <v>196</v>
      </c>
      <c r="E26" s="54"/>
      <c r="F26" s="54" t="s">
        <v>118</v>
      </c>
      <c r="G26" s="54">
        <v>0</v>
      </c>
      <c r="H26" s="54">
        <v>120</v>
      </c>
      <c r="I26" s="54">
        <v>100</v>
      </c>
      <c r="J26" s="56">
        <f t="shared" si="0"/>
        <v>220</v>
      </c>
      <c r="K26" s="266"/>
    </row>
    <row r="27" spans="1:11" ht="30" customHeight="1" thickTop="1" thickBot="1" x14ac:dyDescent="0.25">
      <c r="A27" s="263"/>
      <c r="B27" s="256"/>
      <c r="C27" s="55" t="s">
        <v>133</v>
      </c>
      <c r="D27" s="55" t="s">
        <v>164</v>
      </c>
      <c r="E27" s="54" t="s">
        <v>168</v>
      </c>
      <c r="F27" s="54" t="s">
        <v>118</v>
      </c>
      <c r="G27" s="54">
        <v>120</v>
      </c>
      <c r="H27" s="54">
        <v>100</v>
      </c>
      <c r="I27" s="54">
        <v>0</v>
      </c>
      <c r="J27" s="56">
        <f t="shared" si="0"/>
        <v>220</v>
      </c>
      <c r="K27" s="266"/>
    </row>
    <row r="28" spans="1:11" ht="30" customHeight="1" thickTop="1" thickBot="1" x14ac:dyDescent="0.25">
      <c r="A28" s="263"/>
      <c r="B28" s="256"/>
      <c r="C28" s="55" t="s">
        <v>151</v>
      </c>
      <c r="D28" s="55" t="s">
        <v>205</v>
      </c>
      <c r="E28" s="54"/>
      <c r="F28" s="54" t="s">
        <v>118</v>
      </c>
      <c r="G28" s="54">
        <v>0</v>
      </c>
      <c r="H28" s="54">
        <v>100</v>
      </c>
      <c r="I28" s="54">
        <v>120</v>
      </c>
      <c r="J28" s="56">
        <f t="shared" si="0"/>
        <v>220</v>
      </c>
      <c r="K28" s="266"/>
    </row>
    <row r="29" spans="1:11" ht="30" customHeight="1" thickTop="1" thickBot="1" x14ac:dyDescent="0.25">
      <c r="A29" s="263"/>
      <c r="B29" s="255"/>
      <c r="C29" s="55" t="s">
        <v>132</v>
      </c>
      <c r="D29" s="55" t="s">
        <v>163</v>
      </c>
      <c r="E29" s="54" t="s">
        <v>168</v>
      </c>
      <c r="F29" s="54" t="s">
        <v>118</v>
      </c>
      <c r="G29" s="54">
        <v>120</v>
      </c>
      <c r="H29" s="54">
        <v>100</v>
      </c>
      <c r="I29" s="54">
        <v>0</v>
      </c>
      <c r="J29" s="56">
        <f t="shared" si="0"/>
        <v>220</v>
      </c>
      <c r="K29" s="266"/>
    </row>
    <row r="30" spans="1:11" ht="30" customHeight="1" thickTop="1" thickBot="1" x14ac:dyDescent="0.25">
      <c r="A30" s="263"/>
      <c r="B30" s="51">
        <v>15</v>
      </c>
      <c r="C30" s="52" t="s">
        <v>154</v>
      </c>
      <c r="D30" s="52" t="s">
        <v>193</v>
      </c>
      <c r="E30" s="51"/>
      <c r="F30" s="51" t="s">
        <v>118</v>
      </c>
      <c r="G30" s="51">
        <v>0</v>
      </c>
      <c r="H30" s="51">
        <v>100</v>
      </c>
      <c r="I30" s="51">
        <v>100</v>
      </c>
      <c r="J30" s="53">
        <f t="shared" si="0"/>
        <v>200</v>
      </c>
      <c r="K30" s="266"/>
    </row>
    <row r="31" spans="1:11" ht="30" customHeight="1" thickTop="1" thickBot="1" x14ac:dyDescent="0.25">
      <c r="A31" s="263"/>
      <c r="B31" s="254">
        <v>16</v>
      </c>
      <c r="C31" s="55" t="s">
        <v>126</v>
      </c>
      <c r="D31" s="55" t="s">
        <v>179</v>
      </c>
      <c r="E31" s="54"/>
      <c r="F31" s="54" t="s">
        <v>118</v>
      </c>
      <c r="G31" s="54">
        <v>160</v>
      </c>
      <c r="H31" s="54">
        <v>0</v>
      </c>
      <c r="I31" s="54">
        <v>0</v>
      </c>
      <c r="J31" s="56">
        <f t="shared" si="0"/>
        <v>160</v>
      </c>
      <c r="K31" s="266"/>
    </row>
    <row r="32" spans="1:11" ht="30" customHeight="1" thickTop="1" thickBot="1" x14ac:dyDescent="0.25">
      <c r="A32" s="263"/>
      <c r="B32" s="256"/>
      <c r="C32" s="55" t="s">
        <v>125</v>
      </c>
      <c r="D32" s="55" t="s">
        <v>180</v>
      </c>
      <c r="E32" s="54"/>
      <c r="F32" s="54" t="s">
        <v>118</v>
      </c>
      <c r="G32" s="54">
        <v>160</v>
      </c>
      <c r="H32" s="54">
        <v>0</v>
      </c>
      <c r="I32" s="54">
        <v>0</v>
      </c>
      <c r="J32" s="56">
        <f t="shared" si="0"/>
        <v>160</v>
      </c>
      <c r="K32" s="266"/>
    </row>
    <row r="33" spans="1:11" ht="30" customHeight="1" thickTop="1" thickBot="1" x14ac:dyDescent="0.25">
      <c r="A33" s="263"/>
      <c r="B33" s="255"/>
      <c r="C33" s="55" t="s">
        <v>147</v>
      </c>
      <c r="D33" s="55" t="s">
        <v>194</v>
      </c>
      <c r="E33" s="54"/>
      <c r="F33" s="54" t="s">
        <v>118</v>
      </c>
      <c r="G33" s="54">
        <v>0</v>
      </c>
      <c r="H33" s="54">
        <v>160</v>
      </c>
      <c r="I33" s="54">
        <v>0</v>
      </c>
      <c r="J33" s="56">
        <f t="shared" si="0"/>
        <v>160</v>
      </c>
      <c r="K33" s="266"/>
    </row>
    <row r="34" spans="1:11" ht="30" customHeight="1" thickTop="1" thickBot="1" x14ac:dyDescent="0.25">
      <c r="A34" s="263"/>
      <c r="B34" s="51">
        <v>17</v>
      </c>
      <c r="C34" s="52" t="s">
        <v>127</v>
      </c>
      <c r="D34" s="52" t="s">
        <v>181</v>
      </c>
      <c r="E34" s="51" t="s">
        <v>173</v>
      </c>
      <c r="F34" s="51" t="s">
        <v>118</v>
      </c>
      <c r="G34" s="51">
        <v>140</v>
      </c>
      <c r="H34" s="51">
        <v>0</v>
      </c>
      <c r="I34" s="51">
        <v>0</v>
      </c>
      <c r="J34" s="53">
        <f t="shared" si="0"/>
        <v>140</v>
      </c>
      <c r="K34" s="266"/>
    </row>
    <row r="35" spans="1:11" ht="30" customHeight="1" thickTop="1" thickBot="1" x14ac:dyDescent="0.25">
      <c r="A35" s="263"/>
      <c r="B35" s="254">
        <v>18</v>
      </c>
      <c r="C35" s="55" t="s">
        <v>134</v>
      </c>
      <c r="D35" s="55" t="s">
        <v>182</v>
      </c>
      <c r="E35" s="54"/>
      <c r="F35" s="54" t="s">
        <v>118</v>
      </c>
      <c r="G35" s="54">
        <v>120</v>
      </c>
      <c r="H35" s="54">
        <v>0</v>
      </c>
      <c r="I35" s="54">
        <v>0</v>
      </c>
      <c r="J35" s="56">
        <f t="shared" si="0"/>
        <v>120</v>
      </c>
      <c r="K35" s="266"/>
    </row>
    <row r="36" spans="1:11" ht="30" customHeight="1" thickTop="1" thickBot="1" x14ac:dyDescent="0.25">
      <c r="A36" s="263"/>
      <c r="B36" s="256"/>
      <c r="C36" s="55" t="s">
        <v>149</v>
      </c>
      <c r="D36" s="55" t="s">
        <v>191</v>
      </c>
      <c r="E36" s="54"/>
      <c r="F36" s="54" t="s">
        <v>118</v>
      </c>
      <c r="G36" s="54">
        <v>0</v>
      </c>
      <c r="H36" s="54">
        <v>120</v>
      </c>
      <c r="I36" s="54">
        <v>0</v>
      </c>
      <c r="J36" s="56">
        <f t="shared" si="0"/>
        <v>120</v>
      </c>
      <c r="K36" s="266"/>
    </row>
    <row r="37" spans="1:11" ht="30" customHeight="1" thickTop="1" thickBot="1" x14ac:dyDescent="0.25">
      <c r="A37" s="263"/>
      <c r="B37" s="256"/>
      <c r="C37" s="55" t="s">
        <v>130</v>
      </c>
      <c r="D37" s="55" t="s">
        <v>183</v>
      </c>
      <c r="E37" s="54"/>
      <c r="F37" s="54" t="s">
        <v>143</v>
      </c>
      <c r="G37" s="54">
        <v>120</v>
      </c>
      <c r="H37" s="54">
        <v>0</v>
      </c>
      <c r="I37" s="54">
        <v>0</v>
      </c>
      <c r="J37" s="56">
        <f t="shared" si="0"/>
        <v>120</v>
      </c>
      <c r="K37" s="266"/>
    </row>
    <row r="38" spans="1:11" ht="30" customHeight="1" thickTop="1" thickBot="1" x14ac:dyDescent="0.25">
      <c r="A38" s="263"/>
      <c r="B38" s="256"/>
      <c r="C38" s="55" t="s">
        <v>131</v>
      </c>
      <c r="D38" s="55" t="s">
        <v>184</v>
      </c>
      <c r="E38" s="54"/>
      <c r="F38" s="54" t="s">
        <v>118</v>
      </c>
      <c r="G38" s="54">
        <v>120</v>
      </c>
      <c r="H38" s="54">
        <v>0</v>
      </c>
      <c r="I38" s="54">
        <v>0</v>
      </c>
      <c r="J38" s="56">
        <f t="shared" si="0"/>
        <v>120</v>
      </c>
      <c r="K38" s="266"/>
    </row>
    <row r="39" spans="1:11" ht="30" customHeight="1" thickTop="1" thickBot="1" x14ac:dyDescent="0.25">
      <c r="A39" s="263"/>
      <c r="B39" s="255"/>
      <c r="C39" s="55" t="s">
        <v>155</v>
      </c>
      <c r="D39" s="55" t="s">
        <v>199</v>
      </c>
      <c r="E39" s="156"/>
      <c r="F39" s="54" t="s">
        <v>118</v>
      </c>
      <c r="G39" s="54">
        <v>0</v>
      </c>
      <c r="H39" s="54">
        <v>120</v>
      </c>
      <c r="I39" s="54">
        <v>0</v>
      </c>
      <c r="J39" s="56">
        <f t="shared" si="0"/>
        <v>120</v>
      </c>
      <c r="K39" s="266"/>
    </row>
    <row r="40" spans="1:11" ht="30" customHeight="1" thickTop="1" thickBot="1" x14ac:dyDescent="0.25">
      <c r="A40" s="263"/>
      <c r="B40" s="252">
        <v>19</v>
      </c>
      <c r="C40" s="52" t="s">
        <v>136</v>
      </c>
      <c r="D40" s="52" t="s">
        <v>185</v>
      </c>
      <c r="E40" s="51"/>
      <c r="F40" s="51" t="s">
        <v>118</v>
      </c>
      <c r="G40" s="51">
        <v>100</v>
      </c>
      <c r="H40" s="51">
        <v>0</v>
      </c>
      <c r="I40" s="51">
        <v>0</v>
      </c>
      <c r="J40" s="53">
        <f t="shared" si="0"/>
        <v>100</v>
      </c>
      <c r="K40" s="266"/>
    </row>
    <row r="41" spans="1:11" ht="30" customHeight="1" thickTop="1" thickBot="1" x14ac:dyDescent="0.25">
      <c r="A41" s="263"/>
      <c r="B41" s="257"/>
      <c r="C41" s="52" t="s">
        <v>156</v>
      </c>
      <c r="D41" s="52" t="s">
        <v>203</v>
      </c>
      <c r="E41" s="51" t="s">
        <v>202</v>
      </c>
      <c r="F41" s="51" t="s">
        <v>118</v>
      </c>
      <c r="G41" s="51">
        <v>0</v>
      </c>
      <c r="H41" s="51">
        <v>100</v>
      </c>
      <c r="I41" s="51">
        <v>0</v>
      </c>
      <c r="J41" s="53">
        <f t="shared" si="0"/>
        <v>100</v>
      </c>
      <c r="K41" s="266"/>
    </row>
    <row r="42" spans="1:11" ht="30" customHeight="1" thickTop="1" thickBot="1" x14ac:dyDescent="0.25">
      <c r="A42" s="263"/>
      <c r="B42" s="257"/>
      <c r="C42" s="52" t="s">
        <v>238</v>
      </c>
      <c r="D42" s="155" t="s">
        <v>242</v>
      </c>
      <c r="E42" s="51" t="s">
        <v>202</v>
      </c>
      <c r="F42" s="51" t="s">
        <v>118</v>
      </c>
      <c r="G42" s="51">
        <v>0</v>
      </c>
      <c r="H42" s="51">
        <v>0</v>
      </c>
      <c r="I42" s="51">
        <v>100</v>
      </c>
      <c r="J42" s="53">
        <f t="shared" si="0"/>
        <v>100</v>
      </c>
      <c r="K42" s="266"/>
    </row>
    <row r="43" spans="1:11" ht="30" customHeight="1" thickTop="1" thickBot="1" x14ac:dyDescent="0.25">
      <c r="A43" s="263"/>
      <c r="B43" s="257"/>
      <c r="C43" s="52" t="s">
        <v>142</v>
      </c>
      <c r="D43" s="52" t="s">
        <v>186</v>
      </c>
      <c r="E43" s="51"/>
      <c r="F43" s="51" t="s">
        <v>118</v>
      </c>
      <c r="G43" s="51">
        <v>100</v>
      </c>
      <c r="H43" s="51">
        <v>0</v>
      </c>
      <c r="I43" s="51">
        <v>0</v>
      </c>
      <c r="J43" s="53">
        <f t="shared" si="0"/>
        <v>100</v>
      </c>
      <c r="K43" s="266"/>
    </row>
    <row r="44" spans="1:11" ht="30" customHeight="1" thickTop="1" thickBot="1" x14ac:dyDescent="0.25">
      <c r="A44" s="263"/>
      <c r="B44" s="257"/>
      <c r="C44" s="52" t="s">
        <v>137</v>
      </c>
      <c r="D44" s="52" t="s">
        <v>187</v>
      </c>
      <c r="E44" s="51"/>
      <c r="F44" s="51" t="s">
        <v>118</v>
      </c>
      <c r="G44" s="51">
        <v>100</v>
      </c>
      <c r="H44" s="51">
        <v>0</v>
      </c>
      <c r="I44" s="51">
        <v>0</v>
      </c>
      <c r="J44" s="53">
        <f t="shared" si="0"/>
        <v>100</v>
      </c>
      <c r="K44" s="266"/>
    </row>
    <row r="45" spans="1:11" ht="30" customHeight="1" thickTop="1" thickBot="1" x14ac:dyDescent="0.25">
      <c r="A45" s="263"/>
      <c r="B45" s="257"/>
      <c r="C45" s="52" t="s">
        <v>140</v>
      </c>
      <c r="D45" s="157" t="s">
        <v>165</v>
      </c>
      <c r="E45" s="51"/>
      <c r="F45" s="51" t="s">
        <v>118</v>
      </c>
      <c r="G45" s="51">
        <v>100</v>
      </c>
      <c r="H45" s="51">
        <v>0</v>
      </c>
      <c r="I45" s="51">
        <v>0</v>
      </c>
      <c r="J45" s="53">
        <f t="shared" si="0"/>
        <v>100</v>
      </c>
      <c r="K45" s="266"/>
    </row>
    <row r="46" spans="1:11" ht="30" customHeight="1" thickTop="1" thickBot="1" x14ac:dyDescent="0.25">
      <c r="A46" s="263"/>
      <c r="B46" s="257"/>
      <c r="C46" s="52" t="s">
        <v>239</v>
      </c>
      <c r="D46" s="52" t="s">
        <v>245</v>
      </c>
      <c r="E46" s="51" t="s">
        <v>246</v>
      </c>
      <c r="F46" s="51" t="s">
        <v>118</v>
      </c>
      <c r="G46" s="51">
        <v>0</v>
      </c>
      <c r="H46" s="51">
        <v>0</v>
      </c>
      <c r="I46" s="51">
        <v>100</v>
      </c>
      <c r="J46" s="53">
        <f t="shared" si="0"/>
        <v>100</v>
      </c>
      <c r="K46" s="266"/>
    </row>
    <row r="47" spans="1:11" ht="30" customHeight="1" thickTop="1" thickBot="1" x14ac:dyDescent="0.25">
      <c r="A47" s="263"/>
      <c r="B47" s="257"/>
      <c r="C47" s="52" t="s">
        <v>157</v>
      </c>
      <c r="D47" s="52" t="s">
        <v>204</v>
      </c>
      <c r="E47" s="51" t="s">
        <v>201</v>
      </c>
      <c r="F47" s="51" t="s">
        <v>118</v>
      </c>
      <c r="G47" s="51">
        <v>0</v>
      </c>
      <c r="H47" s="51">
        <v>100</v>
      </c>
      <c r="I47" s="51">
        <v>0</v>
      </c>
      <c r="J47" s="53">
        <f t="shared" si="0"/>
        <v>100</v>
      </c>
      <c r="K47" s="266"/>
    </row>
    <row r="48" spans="1:11" ht="30" customHeight="1" thickTop="1" thickBot="1" x14ac:dyDescent="0.25">
      <c r="A48" s="263"/>
      <c r="B48" s="257"/>
      <c r="C48" s="52" t="s">
        <v>160</v>
      </c>
      <c r="D48" s="52"/>
      <c r="E48" s="51"/>
      <c r="F48" s="51" t="s">
        <v>118</v>
      </c>
      <c r="G48" s="51">
        <v>0</v>
      </c>
      <c r="H48" s="51">
        <v>100</v>
      </c>
      <c r="I48" s="51">
        <v>0</v>
      </c>
      <c r="J48" s="53">
        <f t="shared" si="0"/>
        <v>100</v>
      </c>
      <c r="K48" s="266"/>
    </row>
    <row r="49" spans="1:11" ht="30" customHeight="1" thickTop="1" thickBot="1" x14ac:dyDescent="0.25">
      <c r="A49" s="263"/>
      <c r="B49" s="257"/>
      <c r="C49" s="52" t="s">
        <v>247</v>
      </c>
      <c r="D49" s="52" t="s">
        <v>162</v>
      </c>
      <c r="E49" s="51"/>
      <c r="F49" s="51" t="s">
        <v>118</v>
      </c>
      <c r="G49" s="51">
        <v>100</v>
      </c>
      <c r="H49" s="51">
        <v>0</v>
      </c>
      <c r="I49" s="51">
        <v>0</v>
      </c>
      <c r="J49" s="53">
        <f t="shared" si="0"/>
        <v>100</v>
      </c>
      <c r="K49" s="266"/>
    </row>
    <row r="50" spans="1:11" ht="30" customHeight="1" thickTop="1" thickBot="1" x14ac:dyDescent="0.25">
      <c r="A50" s="263"/>
      <c r="B50" s="257"/>
      <c r="C50" s="52" t="s">
        <v>152</v>
      </c>
      <c r="D50" s="52" t="s">
        <v>269</v>
      </c>
      <c r="E50" s="51" t="s">
        <v>169</v>
      </c>
      <c r="F50" s="51" t="s">
        <v>118</v>
      </c>
      <c r="G50" s="51">
        <v>0</v>
      </c>
      <c r="H50" s="51">
        <v>100</v>
      </c>
      <c r="I50" s="51">
        <v>0</v>
      </c>
      <c r="J50" s="53">
        <f t="shared" si="0"/>
        <v>100</v>
      </c>
      <c r="K50" s="266"/>
    </row>
    <row r="51" spans="1:11" ht="30" customHeight="1" thickTop="1" thickBot="1" x14ac:dyDescent="0.25">
      <c r="A51" s="263"/>
      <c r="B51" s="257"/>
      <c r="C51" s="52" t="s">
        <v>240</v>
      </c>
      <c r="D51" s="52" t="s">
        <v>244</v>
      </c>
      <c r="E51" s="51" t="s">
        <v>246</v>
      </c>
      <c r="F51" s="51" t="s">
        <v>118</v>
      </c>
      <c r="G51" s="51">
        <v>0</v>
      </c>
      <c r="H51" s="51">
        <v>0</v>
      </c>
      <c r="I51" s="51">
        <v>100</v>
      </c>
      <c r="J51" s="53">
        <f t="shared" si="0"/>
        <v>100</v>
      </c>
      <c r="K51" s="266"/>
    </row>
    <row r="52" spans="1:11" ht="30" customHeight="1" thickTop="1" thickBot="1" x14ac:dyDescent="0.25">
      <c r="A52" s="263"/>
      <c r="B52" s="257"/>
      <c r="C52" s="52" t="s">
        <v>273</v>
      </c>
      <c r="D52" s="52" t="s">
        <v>241</v>
      </c>
      <c r="E52" s="51"/>
      <c r="F52" s="51"/>
      <c r="G52" s="51">
        <v>0</v>
      </c>
      <c r="H52" s="51">
        <v>0</v>
      </c>
      <c r="I52" s="51">
        <v>100</v>
      </c>
      <c r="J52" s="53">
        <f t="shared" si="0"/>
        <v>100</v>
      </c>
      <c r="K52" s="266"/>
    </row>
    <row r="53" spans="1:11" ht="30" customHeight="1" thickTop="1" thickBot="1" x14ac:dyDescent="0.25">
      <c r="A53" s="263"/>
      <c r="B53" s="253"/>
      <c r="C53" s="52" t="s">
        <v>158</v>
      </c>
      <c r="D53" s="52" t="s">
        <v>271</v>
      </c>
      <c r="E53" s="51" t="s">
        <v>169</v>
      </c>
      <c r="F53" s="51" t="s">
        <v>118</v>
      </c>
      <c r="G53" s="51">
        <v>0</v>
      </c>
      <c r="H53" s="51">
        <v>100</v>
      </c>
      <c r="I53" s="51">
        <v>0</v>
      </c>
      <c r="J53" s="53">
        <f t="shared" si="0"/>
        <v>100</v>
      </c>
      <c r="K53" s="266"/>
    </row>
    <row r="54" spans="1:11" ht="10" customHeight="1" thickTop="1" thickBot="1" x14ac:dyDescent="0.25">
      <c r="A54" s="264"/>
      <c r="B54" s="269"/>
      <c r="C54" s="269"/>
      <c r="D54" s="269"/>
      <c r="E54" s="269"/>
      <c r="F54" s="269"/>
      <c r="G54" s="269"/>
      <c r="H54" s="269"/>
      <c r="I54" s="269"/>
      <c r="J54" s="269"/>
      <c r="K54" s="267"/>
    </row>
    <row r="55" spans="1:11" ht="16" thickTop="1" x14ac:dyDescent="0.2"/>
  </sheetData>
  <sortState xmlns:xlrd2="http://schemas.microsoft.com/office/spreadsheetml/2017/richdata2" ref="C14:J53">
    <sortCondition descending="1" ref="J14:J53"/>
    <sortCondition ref="C14:C53"/>
  </sortState>
  <mergeCells count="21">
    <mergeCell ref="B14:B16"/>
    <mergeCell ref="F5:F6"/>
    <mergeCell ref="J5:J6"/>
    <mergeCell ref="B7:B8"/>
    <mergeCell ref="A1:K1"/>
    <mergeCell ref="A2:A54"/>
    <mergeCell ref="B2:J2"/>
    <mergeCell ref="K2:K54"/>
    <mergeCell ref="B3:J3"/>
    <mergeCell ref="B4:J4"/>
    <mergeCell ref="B5:B6"/>
    <mergeCell ref="C5:C6"/>
    <mergeCell ref="D5:D6"/>
    <mergeCell ref="E5:E6"/>
    <mergeCell ref="B54:J54"/>
    <mergeCell ref="B40:B53"/>
    <mergeCell ref="B18:B19"/>
    <mergeCell ref="B22:B23"/>
    <mergeCell ref="B25:B29"/>
    <mergeCell ref="B31:B33"/>
    <mergeCell ref="B35:B39"/>
  </mergeCells>
  <printOptions horizontalCentered="1"/>
  <pageMargins left="0.19685039370078741" right="0.19685039370078741" top="0.19685039370078741" bottom="0.19685039370078741" header="0" footer="0"/>
  <pageSetup paperSize="9" scale="66"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F562D-2B15-427A-9802-FBE02EA7C9B1}">
  <sheetPr>
    <pageSetUpPr fitToPage="1"/>
  </sheetPr>
  <dimension ref="A1:I36"/>
  <sheetViews>
    <sheetView showGridLines="0" zoomScale="85" zoomScaleNormal="85" workbookViewId="0">
      <selection activeCell="A36" sqref="A1:I36"/>
    </sheetView>
  </sheetViews>
  <sheetFormatPr baseColWidth="10" defaultColWidth="8.83203125" defaultRowHeight="15" x14ac:dyDescent="0.2"/>
  <cols>
    <col min="1" max="1" width="1.6640625" customWidth="1"/>
    <col min="2" max="2" width="6.5" customWidth="1"/>
    <col min="3" max="3" width="40.5" customWidth="1"/>
    <col min="4" max="4" width="30.6640625" customWidth="1"/>
    <col min="5" max="5" width="1.6640625" customWidth="1"/>
    <col min="6" max="6" width="10.6640625" customWidth="1"/>
    <col min="7" max="7" width="45.33203125" customWidth="1"/>
    <col min="8" max="8" width="41.83203125" customWidth="1"/>
    <col min="9" max="9" width="1.6640625" customWidth="1"/>
  </cols>
  <sheetData>
    <row r="1" spans="1:9" ht="10" customHeight="1" thickBot="1" x14ac:dyDescent="0.25">
      <c r="A1" s="174"/>
      <c r="B1" s="175"/>
      <c r="C1" s="175"/>
      <c r="D1" s="175"/>
      <c r="E1" s="175"/>
      <c r="F1" s="175"/>
      <c r="G1" s="175"/>
      <c r="H1" s="175"/>
      <c r="I1" s="176"/>
    </row>
    <row r="2" spans="1:9" ht="70" customHeight="1" thickBot="1" x14ac:dyDescent="0.25">
      <c r="A2" s="272"/>
      <c r="B2" s="273" t="s">
        <v>104</v>
      </c>
      <c r="C2" s="274"/>
      <c r="D2" s="274"/>
      <c r="E2" s="274"/>
      <c r="F2" s="274"/>
      <c r="G2" s="274"/>
      <c r="H2" s="275"/>
      <c r="I2" s="169"/>
    </row>
    <row r="3" spans="1:9" ht="10" customHeight="1" thickBot="1" x14ac:dyDescent="0.25">
      <c r="A3" s="272"/>
      <c r="B3" s="276"/>
      <c r="C3" s="277"/>
      <c r="D3" s="277"/>
      <c r="E3" s="277"/>
      <c r="F3" s="277"/>
      <c r="G3" s="277"/>
      <c r="H3" s="278"/>
      <c r="I3" s="169"/>
    </row>
    <row r="4" spans="1:9" ht="60" customHeight="1" thickBot="1" x14ac:dyDescent="0.25">
      <c r="A4" s="272"/>
      <c r="B4" s="279" t="s">
        <v>38</v>
      </c>
      <c r="C4" s="280"/>
      <c r="D4" s="280"/>
      <c r="E4" s="280"/>
      <c r="F4" s="280"/>
      <c r="G4" s="280"/>
      <c r="H4" s="281"/>
      <c r="I4" s="169"/>
    </row>
    <row r="5" spans="1:9" ht="10" customHeight="1" thickBot="1" x14ac:dyDescent="0.25">
      <c r="A5" s="272"/>
      <c r="B5" s="282"/>
      <c r="C5" s="283"/>
      <c r="D5" s="283"/>
      <c r="E5" s="283"/>
      <c r="F5" s="283"/>
      <c r="G5" s="283"/>
      <c r="H5" s="284"/>
      <c r="I5" s="169"/>
    </row>
    <row r="6" spans="1:9" ht="30" customHeight="1" thickBot="1" x14ac:dyDescent="0.25">
      <c r="A6" s="272"/>
      <c r="B6" s="285" t="s">
        <v>250</v>
      </c>
      <c r="C6" s="286"/>
      <c r="D6" s="287" t="s">
        <v>233</v>
      </c>
      <c r="E6" s="288"/>
      <c r="F6" s="288"/>
      <c r="G6" s="289"/>
      <c r="H6" s="63" t="s">
        <v>252</v>
      </c>
      <c r="I6" s="169"/>
    </row>
    <row r="7" spans="1:9" ht="30" customHeight="1" thickBot="1" x14ac:dyDescent="0.25">
      <c r="A7" s="272"/>
      <c r="B7" s="293" t="s">
        <v>251</v>
      </c>
      <c r="C7" s="294"/>
      <c r="D7" s="290"/>
      <c r="E7" s="291"/>
      <c r="F7" s="291"/>
      <c r="G7" s="292"/>
      <c r="H7" s="64" t="s">
        <v>119</v>
      </c>
      <c r="I7" s="169"/>
    </row>
    <row r="8" spans="1:9" ht="10" customHeight="1" thickBot="1" x14ac:dyDescent="0.25">
      <c r="A8" s="272"/>
      <c r="B8" s="295"/>
      <c r="C8" s="295"/>
      <c r="D8" s="295"/>
      <c r="E8" s="295"/>
      <c r="F8" s="295"/>
      <c r="G8" s="295"/>
      <c r="H8" s="295"/>
      <c r="I8" s="169"/>
    </row>
    <row r="9" spans="1:9" ht="35" customHeight="1" thickBot="1" x14ac:dyDescent="0.25">
      <c r="A9" s="272"/>
      <c r="B9" s="11" t="s">
        <v>29</v>
      </c>
      <c r="C9" s="12" t="s">
        <v>30</v>
      </c>
      <c r="D9" s="296" t="s">
        <v>31</v>
      </c>
      <c r="E9" s="297"/>
      <c r="F9" s="297"/>
      <c r="G9" s="298"/>
      <c r="H9" s="13" t="s">
        <v>32</v>
      </c>
      <c r="I9" s="169"/>
    </row>
    <row r="10" spans="1:9" ht="82.5" customHeight="1" x14ac:dyDescent="0.2">
      <c r="A10" s="272"/>
      <c r="B10" s="65">
        <v>1</v>
      </c>
      <c r="C10" s="66" t="s">
        <v>39</v>
      </c>
      <c r="D10" s="299" t="s">
        <v>208</v>
      </c>
      <c r="E10" s="299"/>
      <c r="F10" s="299"/>
      <c r="G10" s="299"/>
      <c r="H10" s="300"/>
      <c r="I10" s="169"/>
    </row>
    <row r="11" spans="1:9" ht="35" customHeight="1" x14ac:dyDescent="0.2">
      <c r="A11" s="272"/>
      <c r="B11" s="3">
        <v>2</v>
      </c>
      <c r="C11" s="4" t="s">
        <v>40</v>
      </c>
      <c r="D11" s="270" t="s">
        <v>209</v>
      </c>
      <c r="E11" s="270"/>
      <c r="F11" s="270"/>
      <c r="G11" s="270"/>
      <c r="H11" s="271"/>
      <c r="I11" s="169"/>
    </row>
    <row r="12" spans="1:9" ht="35" customHeight="1" x14ac:dyDescent="0.2">
      <c r="A12" s="272"/>
      <c r="B12" s="3">
        <v>3</v>
      </c>
      <c r="C12" s="4" t="s">
        <v>61</v>
      </c>
      <c r="D12" s="270" t="s">
        <v>210</v>
      </c>
      <c r="E12" s="270"/>
      <c r="F12" s="270"/>
      <c r="G12" s="270"/>
      <c r="H12" s="271"/>
      <c r="I12" s="169"/>
    </row>
    <row r="13" spans="1:9" ht="35" customHeight="1" x14ac:dyDescent="0.2">
      <c r="A13" s="272"/>
      <c r="B13" s="3">
        <v>4</v>
      </c>
      <c r="C13" s="4" t="s">
        <v>41</v>
      </c>
      <c r="D13" s="270" t="s">
        <v>211</v>
      </c>
      <c r="E13" s="270"/>
      <c r="F13" s="270"/>
      <c r="G13" s="270"/>
      <c r="H13" s="271"/>
      <c r="I13" s="169"/>
    </row>
    <row r="14" spans="1:9" ht="35" customHeight="1" x14ac:dyDescent="0.2">
      <c r="A14" s="272"/>
      <c r="B14" s="3">
        <v>5</v>
      </c>
      <c r="C14" s="8" t="s">
        <v>212</v>
      </c>
      <c r="D14" s="270" t="s">
        <v>213</v>
      </c>
      <c r="E14" s="270"/>
      <c r="F14" s="270"/>
      <c r="G14" s="270"/>
      <c r="H14" s="7" t="s">
        <v>42</v>
      </c>
      <c r="I14" s="169"/>
    </row>
    <row r="15" spans="1:9" ht="35" customHeight="1" x14ac:dyDescent="0.2">
      <c r="A15" s="272"/>
      <c r="B15" s="5">
        <v>6</v>
      </c>
      <c r="C15" s="14" t="s">
        <v>43</v>
      </c>
      <c r="D15" s="301" t="s">
        <v>214</v>
      </c>
      <c r="E15" s="301"/>
      <c r="F15" s="301"/>
      <c r="G15" s="301"/>
      <c r="H15" s="15" t="s">
        <v>65</v>
      </c>
      <c r="I15" s="169"/>
    </row>
    <row r="16" spans="1:9" ht="30" customHeight="1" x14ac:dyDescent="0.2">
      <c r="A16" s="272"/>
      <c r="B16" s="303">
        <v>7</v>
      </c>
      <c r="C16" s="304" t="s">
        <v>66</v>
      </c>
      <c r="D16" s="305" t="s">
        <v>67</v>
      </c>
      <c r="E16" s="305"/>
      <c r="F16" s="305"/>
      <c r="G16" s="305"/>
      <c r="H16" s="306"/>
      <c r="I16" s="169"/>
    </row>
    <row r="17" spans="1:9" ht="30" customHeight="1" x14ac:dyDescent="0.2">
      <c r="A17" s="272"/>
      <c r="B17" s="303"/>
      <c r="C17" s="304"/>
      <c r="D17" s="305" t="s">
        <v>68</v>
      </c>
      <c r="E17" s="305"/>
      <c r="F17" s="305"/>
      <c r="G17" s="305"/>
      <c r="H17" s="306"/>
      <c r="I17" s="169"/>
    </row>
    <row r="18" spans="1:9" ht="30" customHeight="1" x14ac:dyDescent="0.2">
      <c r="A18" s="272"/>
      <c r="B18" s="303"/>
      <c r="C18" s="304"/>
      <c r="D18" s="305" t="s">
        <v>69</v>
      </c>
      <c r="E18" s="305"/>
      <c r="F18" s="305"/>
      <c r="G18" s="305"/>
      <c r="H18" s="306"/>
      <c r="I18" s="169"/>
    </row>
    <row r="19" spans="1:9" ht="30" customHeight="1" x14ac:dyDescent="0.2">
      <c r="A19" s="272"/>
      <c r="B19" s="303"/>
      <c r="C19" s="304"/>
      <c r="D19" s="305" t="s">
        <v>70</v>
      </c>
      <c r="E19" s="305"/>
      <c r="F19" s="305"/>
      <c r="G19" s="305"/>
      <c r="H19" s="306"/>
      <c r="I19" s="169"/>
    </row>
    <row r="20" spans="1:9" ht="35" customHeight="1" x14ac:dyDescent="0.2">
      <c r="A20" s="272"/>
      <c r="B20" s="303">
        <v>8</v>
      </c>
      <c r="C20" s="10" t="s">
        <v>100</v>
      </c>
      <c r="D20" s="307" t="s">
        <v>215</v>
      </c>
      <c r="E20" s="307"/>
      <c r="F20" s="307"/>
      <c r="G20" s="307"/>
      <c r="H20" s="308"/>
      <c r="I20" s="169"/>
    </row>
    <row r="21" spans="1:9" ht="35" customHeight="1" x14ac:dyDescent="0.2">
      <c r="A21" s="272"/>
      <c r="B21" s="303"/>
      <c r="C21" s="10" t="s">
        <v>99</v>
      </c>
      <c r="D21" s="307" t="s">
        <v>103</v>
      </c>
      <c r="E21" s="307"/>
      <c r="F21" s="307"/>
      <c r="G21" s="307"/>
      <c r="H21" s="308"/>
      <c r="I21" s="169"/>
    </row>
    <row r="22" spans="1:9" ht="35" customHeight="1" x14ac:dyDescent="0.2">
      <c r="A22" s="272"/>
      <c r="B22" s="5">
        <v>9</v>
      </c>
      <c r="C22" s="4" t="s">
        <v>98</v>
      </c>
      <c r="D22" s="301" t="s">
        <v>102</v>
      </c>
      <c r="E22" s="301"/>
      <c r="F22" s="301"/>
      <c r="G22" s="301"/>
      <c r="H22" s="302"/>
      <c r="I22" s="169"/>
    </row>
    <row r="23" spans="1:9" ht="35" customHeight="1" x14ac:dyDescent="0.2">
      <c r="A23" s="272"/>
      <c r="B23" s="5">
        <v>10</v>
      </c>
      <c r="C23" s="10" t="s">
        <v>48</v>
      </c>
      <c r="D23" s="301" t="s">
        <v>101</v>
      </c>
      <c r="E23" s="301"/>
      <c r="F23" s="301"/>
      <c r="G23" s="301"/>
      <c r="H23" s="302"/>
      <c r="I23" s="169"/>
    </row>
    <row r="24" spans="1:9" ht="35" customHeight="1" x14ac:dyDescent="0.2">
      <c r="A24" s="272"/>
      <c r="B24" s="5">
        <v>11</v>
      </c>
      <c r="C24" s="4" t="s">
        <v>71</v>
      </c>
      <c r="D24" s="301" t="s">
        <v>74</v>
      </c>
      <c r="E24" s="301"/>
      <c r="F24" s="301"/>
      <c r="G24" s="301"/>
      <c r="H24" s="302"/>
      <c r="I24" s="169"/>
    </row>
    <row r="25" spans="1:9" ht="35" customHeight="1" x14ac:dyDescent="0.2">
      <c r="A25" s="272"/>
      <c r="B25" s="5">
        <v>12</v>
      </c>
      <c r="C25" s="6" t="s">
        <v>72</v>
      </c>
      <c r="D25" s="301" t="s">
        <v>73</v>
      </c>
      <c r="E25" s="301"/>
      <c r="F25" s="301"/>
      <c r="G25" s="301"/>
      <c r="H25" s="302"/>
      <c r="I25" s="169"/>
    </row>
    <row r="26" spans="1:9" ht="60" customHeight="1" x14ac:dyDescent="0.2">
      <c r="A26" s="272"/>
      <c r="B26" s="5">
        <v>13</v>
      </c>
      <c r="C26" s="9" t="s">
        <v>44</v>
      </c>
      <c r="D26" s="307" t="s">
        <v>45</v>
      </c>
      <c r="E26" s="307"/>
      <c r="F26" s="307"/>
      <c r="G26" s="307"/>
      <c r="H26" s="308"/>
      <c r="I26" s="169"/>
    </row>
    <row r="27" spans="1:9" ht="60" customHeight="1" x14ac:dyDescent="0.2">
      <c r="A27" s="272"/>
      <c r="B27" s="5">
        <v>14</v>
      </c>
      <c r="C27" s="9" t="s">
        <v>46</v>
      </c>
      <c r="D27" s="307" t="s">
        <v>47</v>
      </c>
      <c r="E27" s="307"/>
      <c r="F27" s="307"/>
      <c r="G27" s="307"/>
      <c r="H27" s="308"/>
      <c r="I27" s="169"/>
    </row>
    <row r="28" spans="1:9" ht="35" customHeight="1" x14ac:dyDescent="0.2">
      <c r="A28" s="272"/>
      <c r="B28" s="303">
        <v>15</v>
      </c>
      <c r="C28" s="309" t="s">
        <v>49</v>
      </c>
      <c r="D28" s="301" t="s">
        <v>50</v>
      </c>
      <c r="E28" s="301"/>
      <c r="F28" s="301"/>
      <c r="G28" s="301"/>
      <c r="H28" s="302"/>
      <c r="I28" s="169"/>
    </row>
    <row r="29" spans="1:9" ht="35" customHeight="1" x14ac:dyDescent="0.2">
      <c r="A29" s="272"/>
      <c r="B29" s="303"/>
      <c r="C29" s="309"/>
      <c r="D29" s="301" t="s">
        <v>51</v>
      </c>
      <c r="E29" s="301"/>
      <c r="F29" s="301"/>
      <c r="G29" s="301"/>
      <c r="H29" s="302"/>
      <c r="I29" s="169"/>
    </row>
    <row r="30" spans="1:9" ht="60" customHeight="1" x14ac:dyDescent="0.2">
      <c r="A30" s="272"/>
      <c r="B30" s="5">
        <v>16</v>
      </c>
      <c r="C30" s="6" t="s">
        <v>52</v>
      </c>
      <c r="D30" s="307" t="s">
        <v>62</v>
      </c>
      <c r="E30" s="307"/>
      <c r="F30" s="307"/>
      <c r="G30" s="307"/>
      <c r="H30" s="308"/>
      <c r="I30" s="169"/>
    </row>
    <row r="31" spans="1:9" ht="60" customHeight="1" x14ac:dyDescent="0.2">
      <c r="A31" s="272"/>
      <c r="B31" s="5">
        <v>17</v>
      </c>
      <c r="C31" s="6" t="s">
        <v>53</v>
      </c>
      <c r="D31" s="307" t="s">
        <v>54</v>
      </c>
      <c r="E31" s="307"/>
      <c r="F31" s="307"/>
      <c r="G31" s="307"/>
      <c r="H31" s="308"/>
      <c r="I31" s="169"/>
    </row>
    <row r="32" spans="1:9" ht="35" customHeight="1" x14ac:dyDescent="0.2">
      <c r="A32" s="272"/>
      <c r="B32" s="314">
        <v>18</v>
      </c>
      <c r="C32" s="315" t="s">
        <v>55</v>
      </c>
      <c r="D32" s="270" t="s">
        <v>106</v>
      </c>
      <c r="E32" s="270"/>
      <c r="F32" s="270"/>
      <c r="G32" s="270"/>
      <c r="H32" s="7" t="s">
        <v>56</v>
      </c>
      <c r="I32" s="169"/>
    </row>
    <row r="33" spans="1:9" ht="35" customHeight="1" x14ac:dyDescent="0.2">
      <c r="A33" s="272"/>
      <c r="B33" s="314"/>
      <c r="C33" s="315"/>
      <c r="D33" s="270" t="s">
        <v>57</v>
      </c>
      <c r="E33" s="270"/>
      <c r="F33" s="270"/>
      <c r="G33" s="270"/>
      <c r="H33" s="7" t="s">
        <v>58</v>
      </c>
      <c r="I33" s="169"/>
    </row>
    <row r="34" spans="1:9" ht="35" customHeight="1" x14ac:dyDescent="0.2">
      <c r="A34" s="272"/>
      <c r="B34" s="3">
        <v>19</v>
      </c>
      <c r="C34" s="8" t="s">
        <v>59</v>
      </c>
      <c r="D34" s="310" t="s">
        <v>234</v>
      </c>
      <c r="E34" s="310"/>
      <c r="F34" s="310"/>
      <c r="G34" s="310"/>
      <c r="H34" s="311"/>
      <c r="I34" s="169"/>
    </row>
    <row r="35" spans="1:9" ht="35" customHeight="1" thickBot="1" x14ac:dyDescent="0.25">
      <c r="A35" s="272"/>
      <c r="B35" s="16">
        <v>20</v>
      </c>
      <c r="C35" s="17" t="s">
        <v>60</v>
      </c>
      <c r="D35" s="312" t="s">
        <v>282</v>
      </c>
      <c r="E35" s="312"/>
      <c r="F35" s="312"/>
      <c r="G35" s="312"/>
      <c r="H35" s="313"/>
      <c r="I35" s="169"/>
    </row>
    <row r="36" spans="1:9" ht="10" customHeight="1" thickBot="1" x14ac:dyDescent="0.25">
      <c r="A36" s="191"/>
      <c r="B36" s="192"/>
      <c r="C36" s="192"/>
      <c r="D36" s="192"/>
      <c r="E36" s="192"/>
      <c r="F36" s="192"/>
      <c r="G36" s="192"/>
      <c r="H36" s="192"/>
      <c r="I36" s="193"/>
    </row>
  </sheetData>
  <mergeCells count="46">
    <mergeCell ref="D34:H34"/>
    <mergeCell ref="D35:H35"/>
    <mergeCell ref="A36:I36"/>
    <mergeCell ref="D30:H30"/>
    <mergeCell ref="D31:H31"/>
    <mergeCell ref="B32:B33"/>
    <mergeCell ref="C32:C33"/>
    <mergeCell ref="D32:G32"/>
    <mergeCell ref="D33:G33"/>
    <mergeCell ref="D25:H25"/>
    <mergeCell ref="D26:H26"/>
    <mergeCell ref="D27:H27"/>
    <mergeCell ref="B28:B29"/>
    <mergeCell ref="C28:C29"/>
    <mergeCell ref="D28:H28"/>
    <mergeCell ref="D29:H29"/>
    <mergeCell ref="D24:H24"/>
    <mergeCell ref="D14:G14"/>
    <mergeCell ref="D15:G15"/>
    <mergeCell ref="B16:B19"/>
    <mergeCell ref="C16:C19"/>
    <mergeCell ref="D16:H16"/>
    <mergeCell ref="D17:H17"/>
    <mergeCell ref="D18:H18"/>
    <mergeCell ref="D19:H19"/>
    <mergeCell ref="B20:B21"/>
    <mergeCell ref="D20:H20"/>
    <mergeCell ref="D21:H21"/>
    <mergeCell ref="D22:H22"/>
    <mergeCell ref="D23:H23"/>
    <mergeCell ref="D13:H13"/>
    <mergeCell ref="A1:I1"/>
    <mergeCell ref="A2:A35"/>
    <mergeCell ref="B2:H2"/>
    <mergeCell ref="I2:I35"/>
    <mergeCell ref="B3:H3"/>
    <mergeCell ref="B4:H4"/>
    <mergeCell ref="B5:H5"/>
    <mergeCell ref="B6:C6"/>
    <mergeCell ref="D6:G7"/>
    <mergeCell ref="B7:C7"/>
    <mergeCell ref="B8:H8"/>
    <mergeCell ref="D9:G9"/>
    <mergeCell ref="D10:H10"/>
    <mergeCell ref="D11:H11"/>
    <mergeCell ref="D12:H12"/>
  </mergeCells>
  <printOptions horizontalCentered="1" verticalCentered="1"/>
  <pageMargins left="0.19685039370078741" right="0.19685039370078741" top="0.19685039370078741" bottom="0.19685039370078741" header="0" footer="0"/>
  <pageSetup paperSize="9" scale="55"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0688E-B955-4B2D-A53D-A6134DBC97C5}">
  <sheetPr>
    <pageSetUpPr fitToPage="1"/>
  </sheetPr>
  <dimension ref="A1:S31"/>
  <sheetViews>
    <sheetView showGridLines="0" topLeftCell="A7" zoomScaleNormal="100" workbookViewId="0">
      <selection activeCell="C21" sqref="C21:H21"/>
    </sheetView>
  </sheetViews>
  <sheetFormatPr baseColWidth="10" defaultColWidth="8.83203125" defaultRowHeight="15" x14ac:dyDescent="0.2"/>
  <cols>
    <col min="1" max="1" width="1.6640625" customWidth="1"/>
    <col min="2" max="2" width="10.6640625" customWidth="1"/>
    <col min="3" max="3" width="40.6640625" customWidth="1"/>
    <col min="4" max="4" width="5.6640625" customWidth="1"/>
    <col min="5" max="5" width="1.6640625" customWidth="1"/>
    <col min="6" max="6" width="10.6640625" customWidth="1"/>
    <col min="7" max="7" width="40.6640625" customWidth="1"/>
    <col min="8" max="8" width="5.6640625" customWidth="1"/>
    <col min="9" max="9" width="1.6640625" customWidth="1"/>
    <col min="10" max="10" width="10.6640625" customWidth="1"/>
    <col min="11" max="11" width="40.6640625" customWidth="1"/>
    <col min="12" max="12" width="5.6640625" customWidth="1"/>
    <col min="13" max="13" width="1.6640625" customWidth="1"/>
    <col min="15" max="15" width="10.6640625" customWidth="1"/>
    <col min="16" max="16" width="37" customWidth="1"/>
    <col min="17" max="18" width="10.6640625" customWidth="1"/>
    <col min="19" max="19" width="11.83203125" customWidth="1"/>
  </cols>
  <sheetData>
    <row r="1" spans="1:19" ht="10" customHeight="1" thickBot="1" x14ac:dyDescent="0.25">
      <c r="A1" s="174"/>
      <c r="B1" s="175"/>
      <c r="C1" s="175"/>
      <c r="D1" s="175"/>
      <c r="E1" s="175"/>
      <c r="F1" s="175"/>
      <c r="G1" s="175"/>
      <c r="H1" s="175"/>
      <c r="I1" s="175"/>
      <c r="J1" s="175"/>
      <c r="K1" s="175"/>
      <c r="L1" s="175"/>
      <c r="M1" s="176"/>
    </row>
    <row r="2" spans="1:19" ht="60" customHeight="1" thickBot="1" x14ac:dyDescent="0.25">
      <c r="A2" s="316"/>
      <c r="B2" s="318" t="s">
        <v>104</v>
      </c>
      <c r="C2" s="319"/>
      <c r="D2" s="319"/>
      <c r="E2" s="319"/>
      <c r="F2" s="319"/>
      <c r="G2" s="319"/>
      <c r="H2" s="319"/>
      <c r="I2" s="319"/>
      <c r="J2" s="319"/>
      <c r="K2" s="319"/>
      <c r="L2" s="320"/>
      <c r="M2" s="169"/>
    </row>
    <row r="3" spans="1:19" ht="35" customHeight="1" thickBot="1" x14ac:dyDescent="0.25">
      <c r="A3" s="316"/>
      <c r="B3" s="321" t="s">
        <v>248</v>
      </c>
      <c r="C3" s="321"/>
      <c r="D3" s="321"/>
      <c r="E3" s="321"/>
      <c r="F3" s="321"/>
      <c r="G3" s="321"/>
      <c r="H3" s="321"/>
      <c r="I3" s="321"/>
      <c r="J3" s="321"/>
      <c r="K3" s="321"/>
      <c r="L3" s="321"/>
      <c r="M3" s="169"/>
    </row>
    <row r="4" spans="1:19" ht="35" customHeight="1" thickBot="1" x14ac:dyDescent="0.25">
      <c r="A4" s="316"/>
      <c r="B4" s="322" t="s">
        <v>121</v>
      </c>
      <c r="C4" s="323"/>
      <c r="D4" s="323"/>
      <c r="E4" s="323"/>
      <c r="F4" s="323"/>
      <c r="G4" s="323"/>
      <c r="H4" s="323"/>
      <c r="I4" s="323"/>
      <c r="J4" s="323"/>
      <c r="K4" s="323"/>
      <c r="L4" s="324"/>
      <c r="M4" s="169"/>
    </row>
    <row r="5" spans="1:19" ht="35" customHeight="1" thickBot="1" x14ac:dyDescent="0.25">
      <c r="A5" s="316"/>
      <c r="B5" s="325" t="s">
        <v>249</v>
      </c>
      <c r="C5" s="325"/>
      <c r="D5" s="325"/>
      <c r="E5" s="325"/>
      <c r="F5" s="325"/>
      <c r="G5" s="325"/>
      <c r="H5" s="325"/>
      <c r="I5" s="325"/>
      <c r="J5" s="325"/>
      <c r="K5" s="325"/>
      <c r="L5" s="325"/>
      <c r="M5" s="169"/>
    </row>
    <row r="6" spans="1:19" ht="30" customHeight="1" x14ac:dyDescent="0.2">
      <c r="A6" s="316"/>
      <c r="B6" s="326" t="s">
        <v>216</v>
      </c>
      <c r="C6" s="327"/>
      <c r="D6" s="327"/>
      <c r="E6" s="327"/>
      <c r="F6" s="327"/>
      <c r="G6" s="327"/>
      <c r="H6" s="327"/>
      <c r="I6" s="327"/>
      <c r="J6" s="327"/>
      <c r="K6" s="327"/>
      <c r="L6" s="328"/>
      <c r="M6" s="169"/>
    </row>
    <row r="7" spans="1:19" ht="20" customHeight="1" thickBot="1" x14ac:dyDescent="0.25">
      <c r="A7" s="316"/>
      <c r="B7" s="329" t="s">
        <v>217</v>
      </c>
      <c r="C7" s="330"/>
      <c r="D7" s="330"/>
      <c r="E7" s="330"/>
      <c r="F7" s="330"/>
      <c r="G7" s="330"/>
      <c r="H7" s="330"/>
      <c r="I7" s="330"/>
      <c r="J7" s="330"/>
      <c r="K7" s="330"/>
      <c r="L7" s="331"/>
      <c r="M7" s="169"/>
    </row>
    <row r="8" spans="1:19" ht="10" customHeight="1" thickBot="1" x14ac:dyDescent="0.25">
      <c r="A8" s="316"/>
      <c r="B8" s="332"/>
      <c r="C8" s="332"/>
      <c r="D8" s="332"/>
      <c r="E8" s="332"/>
      <c r="F8" s="332"/>
      <c r="G8" s="332"/>
      <c r="H8" s="332"/>
      <c r="I8" s="332"/>
      <c r="J8" s="332"/>
      <c r="K8" s="332"/>
      <c r="L8" s="332"/>
      <c r="M8" s="169"/>
    </row>
    <row r="9" spans="1:19" ht="25" customHeight="1" thickBot="1" x14ac:dyDescent="0.25">
      <c r="A9" s="316"/>
      <c r="B9" s="336" t="s">
        <v>36</v>
      </c>
      <c r="C9" s="337"/>
      <c r="D9" s="338"/>
      <c r="E9" s="339"/>
      <c r="F9" s="340" t="s">
        <v>37</v>
      </c>
      <c r="G9" s="341"/>
      <c r="H9" s="342"/>
      <c r="I9" s="339"/>
      <c r="J9" s="343" t="s">
        <v>75</v>
      </c>
      <c r="K9" s="344"/>
      <c r="L9" s="345"/>
      <c r="M9" s="169"/>
    </row>
    <row r="10" spans="1:19" ht="25" customHeight="1" x14ac:dyDescent="0.2">
      <c r="A10" s="316"/>
      <c r="B10" s="67" t="s">
        <v>76</v>
      </c>
      <c r="C10" s="68" t="s">
        <v>24</v>
      </c>
      <c r="D10" s="69" t="s">
        <v>77</v>
      </c>
      <c r="E10" s="339"/>
      <c r="F10" s="67" t="s">
        <v>76</v>
      </c>
      <c r="G10" s="69" t="s">
        <v>24</v>
      </c>
      <c r="H10" s="69" t="s">
        <v>77</v>
      </c>
      <c r="I10" s="339"/>
      <c r="J10" s="67" t="s">
        <v>76</v>
      </c>
      <c r="K10" s="69" t="s">
        <v>24</v>
      </c>
      <c r="L10" s="69" t="s">
        <v>77</v>
      </c>
      <c r="M10" s="169"/>
    </row>
    <row r="11" spans="1:19" ht="25" customHeight="1" x14ac:dyDescent="0.2">
      <c r="A11" s="316"/>
      <c r="B11" s="70" t="s">
        <v>1</v>
      </c>
      <c r="C11" s="71" t="str">
        <f>C18</f>
        <v>VICTOR PUTTINI/JURANDIR JR</v>
      </c>
      <c r="D11" s="72" t="s">
        <v>78</v>
      </c>
      <c r="E11" s="339"/>
      <c r="F11" s="70" t="s">
        <v>3</v>
      </c>
      <c r="G11" s="73" t="str">
        <f>C19</f>
        <v>FELIPE COSTA/RAPHAEL BESSA</v>
      </c>
      <c r="H11" s="74" t="s">
        <v>79</v>
      </c>
      <c r="I11" s="339"/>
      <c r="J11" s="70" t="s">
        <v>4</v>
      </c>
      <c r="K11" s="73" t="str">
        <f>C20</f>
        <v>MATEUS LIRA/AUGUSTO</v>
      </c>
      <c r="L11" s="75" t="s">
        <v>80</v>
      </c>
      <c r="M11" s="169"/>
    </row>
    <row r="12" spans="1:19" ht="25" customHeight="1" x14ac:dyDescent="0.2">
      <c r="A12" s="316"/>
      <c r="B12" s="70" t="s">
        <v>6</v>
      </c>
      <c r="C12" s="76" t="str">
        <f>C23</f>
        <v>JOÃO GUILHERME/FELIPE BAPTISTA</v>
      </c>
      <c r="D12" s="72" t="s">
        <v>81</v>
      </c>
      <c r="E12" s="339"/>
      <c r="F12" s="70" t="s">
        <v>5</v>
      </c>
      <c r="G12" s="77" t="str">
        <f>C22</f>
        <v>THIAGO FELIPE/MURILO ALVES</v>
      </c>
      <c r="H12" s="74" t="s">
        <v>82</v>
      </c>
      <c r="I12" s="339"/>
      <c r="J12" s="70" t="s">
        <v>2</v>
      </c>
      <c r="K12" s="73" t="str">
        <f>C21</f>
        <v>CAIO MARLEY/VAVO GUERREIRO</v>
      </c>
      <c r="L12" s="75" t="s">
        <v>83</v>
      </c>
      <c r="M12" s="169"/>
    </row>
    <row r="13" spans="1:19" ht="25" customHeight="1" x14ac:dyDescent="0.2">
      <c r="A13" s="316"/>
      <c r="B13" s="70" t="s">
        <v>7</v>
      </c>
      <c r="C13" s="76" t="str">
        <f>C24</f>
        <v>GUI GERREIRO/THEO PEREIRA</v>
      </c>
      <c r="D13" s="72" t="s">
        <v>84</v>
      </c>
      <c r="E13" s="339"/>
      <c r="F13" s="70" t="s">
        <v>8</v>
      </c>
      <c r="G13" s="77" t="str">
        <f>C25</f>
        <v>LUCAS MENDES/FELIPE ROSSI</v>
      </c>
      <c r="H13" s="74" t="s">
        <v>85</v>
      </c>
      <c r="I13" s="339"/>
      <c r="J13" s="70" t="s">
        <v>9</v>
      </c>
      <c r="K13" s="77" t="str">
        <f>C26</f>
        <v>ENZO ALEXANDRE/ARTHUR AURÉLIO</v>
      </c>
      <c r="L13" s="75" t="s">
        <v>86</v>
      </c>
      <c r="M13" s="169"/>
    </row>
    <row r="14" spans="1:19" ht="25" customHeight="1" thickBot="1" x14ac:dyDescent="0.25">
      <c r="A14" s="316"/>
      <c r="B14" s="78" t="s">
        <v>64</v>
      </c>
      <c r="C14" s="79" t="str">
        <f>C29</f>
        <v>ANDRI/JOAQUIM</v>
      </c>
      <c r="D14" s="80" t="s">
        <v>87</v>
      </c>
      <c r="E14" s="339"/>
      <c r="F14" s="78" t="s">
        <v>11</v>
      </c>
      <c r="G14" s="81" t="str">
        <f>C28</f>
        <v>VINÍCIUS ALMEIDA/GUI RODRIGUES</v>
      </c>
      <c r="H14" s="82" t="s">
        <v>88</v>
      </c>
      <c r="I14" s="339"/>
      <c r="J14" s="78" t="s">
        <v>10</v>
      </c>
      <c r="K14" s="81" t="str">
        <f>C27</f>
        <v>LEONARDO/MARCUS VINÍCIUS</v>
      </c>
      <c r="L14" s="83" t="s">
        <v>89</v>
      </c>
      <c r="M14" s="169"/>
    </row>
    <row r="15" spans="1:19" ht="10" customHeight="1" thickBot="1" x14ac:dyDescent="0.25">
      <c r="A15" s="316"/>
      <c r="B15" s="346"/>
      <c r="C15" s="346"/>
      <c r="D15" s="346"/>
      <c r="E15" s="346"/>
      <c r="F15" s="346"/>
      <c r="G15" s="346"/>
      <c r="H15" s="346"/>
      <c r="I15" s="346"/>
      <c r="J15" s="346"/>
      <c r="K15" s="346"/>
      <c r="L15" s="346"/>
      <c r="M15" s="169"/>
    </row>
    <row r="16" spans="1:19" ht="20" customHeight="1" thickBot="1" x14ac:dyDescent="0.25">
      <c r="A16" s="316"/>
      <c r="B16" s="347" t="s">
        <v>218</v>
      </c>
      <c r="C16" s="348"/>
      <c r="D16" s="348"/>
      <c r="E16" s="348"/>
      <c r="F16" s="348"/>
      <c r="G16" s="348"/>
      <c r="H16" s="348"/>
      <c r="I16" s="348"/>
      <c r="J16" s="348"/>
      <c r="K16" s="348"/>
      <c r="L16" s="349"/>
      <c r="M16" s="169"/>
      <c r="O16" s="350" t="s">
        <v>219</v>
      </c>
      <c r="P16" s="351"/>
      <c r="Q16" s="351"/>
      <c r="R16" s="351"/>
      <c r="S16" s="352"/>
    </row>
    <row r="17" spans="1:19" ht="25" customHeight="1" thickBot="1" x14ac:dyDescent="0.25">
      <c r="A17" s="316"/>
      <c r="B17" s="84" t="s">
        <v>76</v>
      </c>
      <c r="C17" s="353" t="s">
        <v>25</v>
      </c>
      <c r="D17" s="353"/>
      <c r="E17" s="353"/>
      <c r="F17" s="353"/>
      <c r="G17" s="353"/>
      <c r="H17" s="353"/>
      <c r="I17" s="353" t="s">
        <v>90</v>
      </c>
      <c r="J17" s="353"/>
      <c r="K17" s="354"/>
      <c r="L17" s="85" t="s">
        <v>77</v>
      </c>
      <c r="M17" s="169"/>
      <c r="O17" s="355" t="s">
        <v>220</v>
      </c>
      <c r="P17" s="356"/>
      <c r="Q17" s="86" t="s">
        <v>221</v>
      </c>
      <c r="R17" s="86" t="s">
        <v>222</v>
      </c>
      <c r="S17" s="87" t="s">
        <v>0</v>
      </c>
    </row>
    <row r="18" spans="1:19" ht="30" customHeight="1" x14ac:dyDescent="0.2">
      <c r="A18" s="316"/>
      <c r="B18" s="88" t="s">
        <v>1</v>
      </c>
      <c r="C18" s="333" t="s">
        <v>254</v>
      </c>
      <c r="D18" s="333"/>
      <c r="E18" s="333"/>
      <c r="F18" s="333"/>
      <c r="G18" s="333"/>
      <c r="H18" s="333"/>
      <c r="I18" s="334" t="s">
        <v>274</v>
      </c>
      <c r="J18" s="334"/>
      <c r="K18" s="335"/>
      <c r="L18" s="89" t="s">
        <v>78</v>
      </c>
      <c r="M18" s="169"/>
      <c r="O18" s="59" t="s">
        <v>1</v>
      </c>
      <c r="P18" s="153" t="s">
        <v>254</v>
      </c>
      <c r="Q18" s="58">
        <v>460</v>
      </c>
      <c r="R18" s="58">
        <v>280</v>
      </c>
      <c r="S18" s="58">
        <f t="shared" ref="S18:S29" si="0">SUM(Q18:R18)</f>
        <v>740</v>
      </c>
    </row>
    <row r="19" spans="1:19" ht="30" customHeight="1" x14ac:dyDescent="0.2">
      <c r="A19" s="316"/>
      <c r="B19" s="70" t="s">
        <v>3</v>
      </c>
      <c r="C19" s="357" t="s">
        <v>266</v>
      </c>
      <c r="D19" s="357"/>
      <c r="E19" s="357"/>
      <c r="F19" s="357"/>
      <c r="G19" s="357"/>
      <c r="H19" s="357"/>
      <c r="I19" s="358" t="s">
        <v>275</v>
      </c>
      <c r="J19" s="359"/>
      <c r="K19" s="360"/>
      <c r="L19" s="90" t="s">
        <v>79</v>
      </c>
      <c r="M19" s="169"/>
      <c r="O19" s="59" t="s">
        <v>3</v>
      </c>
      <c r="P19" s="57" t="s">
        <v>266</v>
      </c>
      <c r="Q19" s="58">
        <v>340</v>
      </c>
      <c r="R19" s="58">
        <v>160</v>
      </c>
      <c r="S19" s="58">
        <f t="shared" si="0"/>
        <v>500</v>
      </c>
    </row>
    <row r="20" spans="1:19" ht="30" customHeight="1" x14ac:dyDescent="0.2">
      <c r="A20" s="316"/>
      <c r="B20" s="70" t="s">
        <v>4</v>
      </c>
      <c r="C20" s="357" t="s">
        <v>261</v>
      </c>
      <c r="D20" s="357"/>
      <c r="E20" s="357"/>
      <c r="F20" s="357"/>
      <c r="G20" s="357"/>
      <c r="H20" s="357"/>
      <c r="I20" s="361" t="s">
        <v>276</v>
      </c>
      <c r="J20" s="361"/>
      <c r="K20" s="362"/>
      <c r="L20" s="91" t="s">
        <v>80</v>
      </c>
      <c r="M20" s="169"/>
      <c r="O20" s="59" t="s">
        <v>4</v>
      </c>
      <c r="P20" s="57" t="s">
        <v>261</v>
      </c>
      <c r="Q20" s="58">
        <v>340</v>
      </c>
      <c r="R20" s="58">
        <v>140</v>
      </c>
      <c r="S20" s="58">
        <f t="shared" si="0"/>
        <v>480</v>
      </c>
    </row>
    <row r="21" spans="1:19" ht="30" customHeight="1" x14ac:dyDescent="0.2">
      <c r="A21" s="316"/>
      <c r="B21" s="70" t="s">
        <v>2</v>
      </c>
      <c r="C21" s="357" t="s">
        <v>260</v>
      </c>
      <c r="D21" s="357"/>
      <c r="E21" s="357"/>
      <c r="F21" s="357"/>
      <c r="G21" s="357"/>
      <c r="H21" s="357"/>
      <c r="I21" s="361" t="s">
        <v>277</v>
      </c>
      <c r="J21" s="361"/>
      <c r="K21" s="362"/>
      <c r="L21" s="91" t="s">
        <v>83</v>
      </c>
      <c r="M21" s="169"/>
      <c r="O21" s="59" t="s">
        <v>2</v>
      </c>
      <c r="P21" s="57" t="s">
        <v>260</v>
      </c>
      <c r="Q21" s="58">
        <v>240</v>
      </c>
      <c r="R21" s="58">
        <v>220</v>
      </c>
      <c r="S21" s="58">
        <f t="shared" si="0"/>
        <v>460</v>
      </c>
    </row>
    <row r="22" spans="1:19" ht="30" customHeight="1" x14ac:dyDescent="0.2">
      <c r="A22" s="316"/>
      <c r="B22" s="70" t="s">
        <v>5</v>
      </c>
      <c r="C22" s="357" t="s">
        <v>258</v>
      </c>
      <c r="D22" s="357"/>
      <c r="E22" s="357"/>
      <c r="F22" s="357"/>
      <c r="G22" s="357"/>
      <c r="H22" s="357"/>
      <c r="I22" s="361" t="s">
        <v>278</v>
      </c>
      <c r="J22" s="361"/>
      <c r="K22" s="362"/>
      <c r="L22" s="90" t="s">
        <v>82</v>
      </c>
      <c r="M22" s="169"/>
      <c r="O22" s="59" t="s">
        <v>5</v>
      </c>
      <c r="P22" s="57" t="s">
        <v>258</v>
      </c>
      <c r="Q22" s="58">
        <v>280</v>
      </c>
      <c r="R22" s="58">
        <v>0</v>
      </c>
      <c r="S22" s="58">
        <f t="shared" si="0"/>
        <v>280</v>
      </c>
    </row>
    <row r="23" spans="1:19" ht="30" customHeight="1" x14ac:dyDescent="0.2">
      <c r="A23" s="316"/>
      <c r="B23" s="70" t="s">
        <v>6</v>
      </c>
      <c r="C23" s="357" t="s">
        <v>259</v>
      </c>
      <c r="D23" s="357"/>
      <c r="E23" s="357"/>
      <c r="F23" s="357"/>
      <c r="G23" s="357"/>
      <c r="H23" s="357"/>
      <c r="I23" s="363" t="s">
        <v>279</v>
      </c>
      <c r="J23" s="363"/>
      <c r="K23" s="364"/>
      <c r="L23" s="92" t="s">
        <v>81</v>
      </c>
      <c r="M23" s="169"/>
      <c r="O23" s="59" t="s">
        <v>6</v>
      </c>
      <c r="P23" s="57" t="s">
        <v>259</v>
      </c>
      <c r="Q23" s="58">
        <v>260</v>
      </c>
      <c r="R23" s="58">
        <v>0</v>
      </c>
      <c r="S23" s="58">
        <f t="shared" si="0"/>
        <v>260</v>
      </c>
    </row>
    <row r="24" spans="1:19" ht="30" customHeight="1" x14ac:dyDescent="0.2">
      <c r="A24" s="316"/>
      <c r="B24" s="70" t="s">
        <v>7</v>
      </c>
      <c r="C24" s="357" t="s">
        <v>272</v>
      </c>
      <c r="D24" s="357"/>
      <c r="E24" s="357"/>
      <c r="F24" s="357"/>
      <c r="G24" s="357"/>
      <c r="H24" s="357"/>
      <c r="I24" s="361" t="s">
        <v>280</v>
      </c>
      <c r="J24" s="361"/>
      <c r="K24" s="362"/>
      <c r="L24" s="92" t="s">
        <v>84</v>
      </c>
      <c r="M24" s="169"/>
      <c r="O24" s="59" t="s">
        <v>7</v>
      </c>
      <c r="P24" s="57" t="s">
        <v>272</v>
      </c>
      <c r="Q24" s="58">
        <v>220</v>
      </c>
      <c r="R24" s="58">
        <v>0</v>
      </c>
      <c r="S24" s="58">
        <f t="shared" si="0"/>
        <v>220</v>
      </c>
    </row>
    <row r="25" spans="1:19" ht="30" customHeight="1" x14ac:dyDescent="0.2">
      <c r="A25" s="316"/>
      <c r="B25" s="70" t="s">
        <v>8</v>
      </c>
      <c r="C25" s="366" t="s">
        <v>255</v>
      </c>
      <c r="D25" s="367"/>
      <c r="E25" s="367"/>
      <c r="F25" s="367"/>
      <c r="G25" s="367"/>
      <c r="H25" s="368"/>
      <c r="I25" s="363" t="s">
        <v>281</v>
      </c>
      <c r="J25" s="363"/>
      <c r="K25" s="364"/>
      <c r="L25" s="90" t="s">
        <v>85</v>
      </c>
      <c r="M25" s="169"/>
      <c r="O25" s="59" t="s">
        <v>8</v>
      </c>
      <c r="P25" s="161" t="s">
        <v>255</v>
      </c>
      <c r="Q25" s="160">
        <v>100</v>
      </c>
      <c r="R25" s="160">
        <v>0</v>
      </c>
      <c r="S25" s="160">
        <f t="shared" si="0"/>
        <v>100</v>
      </c>
    </row>
    <row r="26" spans="1:19" ht="30" customHeight="1" x14ac:dyDescent="0.2">
      <c r="A26" s="316"/>
      <c r="B26" s="70" t="s">
        <v>9</v>
      </c>
      <c r="C26" s="366" t="s">
        <v>263</v>
      </c>
      <c r="D26" s="367"/>
      <c r="E26" s="367"/>
      <c r="F26" s="367"/>
      <c r="G26" s="367"/>
      <c r="H26" s="368"/>
      <c r="I26" s="361">
        <v>0</v>
      </c>
      <c r="J26" s="361"/>
      <c r="K26" s="362"/>
      <c r="L26" s="91" t="s">
        <v>86</v>
      </c>
      <c r="M26" s="169"/>
      <c r="O26" s="59" t="s">
        <v>9</v>
      </c>
      <c r="P26" s="158" t="s">
        <v>253</v>
      </c>
      <c r="Q26" s="159">
        <v>0</v>
      </c>
      <c r="R26" s="159">
        <v>0</v>
      </c>
      <c r="S26" s="159">
        <f t="shared" si="0"/>
        <v>0</v>
      </c>
    </row>
    <row r="27" spans="1:19" ht="30" customHeight="1" x14ac:dyDescent="0.2">
      <c r="A27" s="316"/>
      <c r="B27" s="93" t="s">
        <v>10</v>
      </c>
      <c r="C27" s="366" t="s">
        <v>256</v>
      </c>
      <c r="D27" s="367"/>
      <c r="E27" s="367"/>
      <c r="F27" s="367"/>
      <c r="G27" s="367"/>
      <c r="H27" s="368"/>
      <c r="I27" s="361">
        <v>0</v>
      </c>
      <c r="J27" s="361"/>
      <c r="K27" s="362"/>
      <c r="L27" s="91" t="s">
        <v>89</v>
      </c>
      <c r="M27" s="169"/>
      <c r="O27" s="59" t="s">
        <v>10</v>
      </c>
      <c r="P27" s="158" t="s">
        <v>263</v>
      </c>
      <c r="Q27" s="159">
        <v>0</v>
      </c>
      <c r="R27" s="159">
        <v>0</v>
      </c>
      <c r="S27" s="159">
        <f t="shared" si="0"/>
        <v>0</v>
      </c>
    </row>
    <row r="28" spans="1:19" ht="30" customHeight="1" x14ac:dyDescent="0.2">
      <c r="A28" s="316"/>
      <c r="B28" s="70" t="s">
        <v>11</v>
      </c>
      <c r="C28" s="366" t="s">
        <v>257</v>
      </c>
      <c r="D28" s="367"/>
      <c r="E28" s="367"/>
      <c r="F28" s="367"/>
      <c r="G28" s="367"/>
      <c r="H28" s="368"/>
      <c r="I28" s="369">
        <v>0</v>
      </c>
      <c r="J28" s="369"/>
      <c r="K28" s="370"/>
      <c r="L28" s="90" t="s">
        <v>88</v>
      </c>
      <c r="M28" s="169"/>
      <c r="O28" s="59" t="s">
        <v>11</v>
      </c>
      <c r="P28" s="158" t="s">
        <v>256</v>
      </c>
      <c r="Q28" s="159">
        <v>0</v>
      </c>
      <c r="R28" s="159">
        <v>0</v>
      </c>
      <c r="S28" s="159">
        <f t="shared" si="0"/>
        <v>0</v>
      </c>
    </row>
    <row r="29" spans="1:19" ht="30" customHeight="1" thickBot="1" x14ac:dyDescent="0.25">
      <c r="A29" s="316"/>
      <c r="B29" s="78" t="s">
        <v>64</v>
      </c>
      <c r="C29" s="371" t="s">
        <v>253</v>
      </c>
      <c r="D29" s="372"/>
      <c r="E29" s="372"/>
      <c r="F29" s="372"/>
      <c r="G29" s="372"/>
      <c r="H29" s="373"/>
      <c r="I29" s="374">
        <v>0</v>
      </c>
      <c r="J29" s="374"/>
      <c r="K29" s="375"/>
      <c r="L29" s="94" t="s">
        <v>87</v>
      </c>
      <c r="M29" s="169"/>
      <c r="O29" s="59" t="s">
        <v>64</v>
      </c>
      <c r="P29" s="158" t="s">
        <v>257</v>
      </c>
      <c r="Q29" s="159">
        <v>0</v>
      </c>
      <c r="R29" s="159">
        <v>0</v>
      </c>
      <c r="S29" s="159">
        <f t="shared" si="0"/>
        <v>0</v>
      </c>
    </row>
    <row r="30" spans="1:19" ht="10" customHeight="1" thickBot="1" x14ac:dyDescent="0.25">
      <c r="A30" s="317"/>
      <c r="B30" s="192"/>
      <c r="C30" s="192"/>
      <c r="D30" s="192"/>
      <c r="E30" s="192"/>
      <c r="F30" s="192"/>
      <c r="G30" s="192"/>
      <c r="H30" s="192"/>
      <c r="I30" s="192"/>
      <c r="J30" s="192"/>
      <c r="K30" s="192"/>
      <c r="L30" s="192"/>
      <c r="M30" s="193"/>
    </row>
    <row r="31" spans="1:19" ht="10" customHeight="1" x14ac:dyDescent="0.2">
      <c r="B31" s="365"/>
      <c r="C31" s="365"/>
      <c r="D31" s="365"/>
      <c r="E31" s="365"/>
      <c r="F31" s="365"/>
      <c r="G31" s="365"/>
      <c r="H31" s="365"/>
      <c r="I31" s="365"/>
      <c r="J31" s="365"/>
      <c r="K31" s="365"/>
      <c r="L31" s="365"/>
    </row>
  </sheetData>
  <sortState xmlns:xlrd2="http://schemas.microsoft.com/office/spreadsheetml/2017/richdata2" ref="P18:S29">
    <sortCondition descending="1" ref="S18:S29"/>
  </sortState>
  <mergeCells count="47">
    <mergeCell ref="B31:L31"/>
    <mergeCell ref="C25:H25"/>
    <mergeCell ref="I25:K25"/>
    <mergeCell ref="C26:H26"/>
    <mergeCell ref="I26:K26"/>
    <mergeCell ref="C27:H27"/>
    <mergeCell ref="I27:K27"/>
    <mergeCell ref="C28:H28"/>
    <mergeCell ref="I28:K28"/>
    <mergeCell ref="C29:H29"/>
    <mergeCell ref="I29:K29"/>
    <mergeCell ref="B30:L30"/>
    <mergeCell ref="C22:H22"/>
    <mergeCell ref="I22:K22"/>
    <mergeCell ref="C23:H23"/>
    <mergeCell ref="I23:K23"/>
    <mergeCell ref="C24:H24"/>
    <mergeCell ref="I24:K24"/>
    <mergeCell ref="C19:H19"/>
    <mergeCell ref="I19:K19"/>
    <mergeCell ref="C20:H20"/>
    <mergeCell ref="I20:K20"/>
    <mergeCell ref="C21:H21"/>
    <mergeCell ref="I21:K21"/>
    <mergeCell ref="J9:L9"/>
    <mergeCell ref="B15:L15"/>
    <mergeCell ref="B16:L16"/>
    <mergeCell ref="O16:S16"/>
    <mergeCell ref="C17:H17"/>
    <mergeCell ref="I17:K17"/>
    <mergeCell ref="O17:P17"/>
    <mergeCell ref="A1:M1"/>
    <mergeCell ref="A2:A30"/>
    <mergeCell ref="B2:L2"/>
    <mergeCell ref="M2:M30"/>
    <mergeCell ref="B3:L3"/>
    <mergeCell ref="B4:L4"/>
    <mergeCell ref="B5:L5"/>
    <mergeCell ref="B6:L6"/>
    <mergeCell ref="B7:L7"/>
    <mergeCell ref="B8:L8"/>
    <mergeCell ref="C18:H18"/>
    <mergeCell ref="I18:K18"/>
    <mergeCell ref="B9:D9"/>
    <mergeCell ref="E9:E14"/>
    <mergeCell ref="F9:H9"/>
    <mergeCell ref="I9:I14"/>
  </mergeCells>
  <printOptions horizontalCentered="1" verticalCentered="1"/>
  <pageMargins left="0.19685039370078741" right="0.19685039370078741" top="0.19685039370078741" bottom="0.19685039370078741" header="0.31496062992125984" footer="0.31496062992125984"/>
  <pageSetup paperSize="9" scale="53"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2B334-5301-4E36-90B5-65BC7973CFBF}">
  <sheetPr>
    <pageSetUpPr fitToPage="1"/>
  </sheetPr>
  <dimension ref="A1:M62"/>
  <sheetViews>
    <sheetView showGridLines="0" tabSelected="1" topLeftCell="A4" zoomScale="85" zoomScaleNormal="85" workbookViewId="0">
      <selection activeCell="H27" sqref="H27:J27"/>
    </sheetView>
  </sheetViews>
  <sheetFormatPr baseColWidth="10" defaultColWidth="8.83203125" defaultRowHeight="15" x14ac:dyDescent="0.2"/>
  <cols>
    <col min="1" max="1" width="1.6640625" customWidth="1"/>
    <col min="2" max="6" width="8.6640625" customWidth="1"/>
    <col min="7" max="7" width="42" bestFit="1" customWidth="1"/>
    <col min="8" max="8" width="10.6640625" style="1" customWidth="1"/>
    <col min="9" max="9" width="6.6640625" customWidth="1"/>
    <col min="10" max="10" width="10.6640625" style="1" customWidth="1"/>
    <col min="11" max="11" width="42" bestFit="1" customWidth="1"/>
    <col min="12" max="12" width="8.6640625" customWidth="1"/>
    <col min="13" max="13" width="1.6640625" customWidth="1"/>
  </cols>
  <sheetData>
    <row r="1" spans="1:13" ht="10" customHeight="1" thickBot="1" x14ac:dyDescent="0.25">
      <c r="A1" s="174"/>
      <c r="B1" s="175"/>
      <c r="C1" s="175"/>
      <c r="D1" s="175"/>
      <c r="E1" s="175"/>
      <c r="F1" s="175"/>
      <c r="G1" s="175"/>
      <c r="H1" s="175"/>
      <c r="I1" s="175"/>
      <c r="J1" s="175"/>
      <c r="K1" s="175"/>
      <c r="L1" s="175"/>
      <c r="M1" s="176"/>
    </row>
    <row r="2" spans="1:13" ht="60" customHeight="1" thickBot="1" x14ac:dyDescent="0.25">
      <c r="A2" s="148"/>
      <c r="B2" s="318" t="s">
        <v>104</v>
      </c>
      <c r="C2" s="319"/>
      <c r="D2" s="319"/>
      <c r="E2" s="319"/>
      <c r="F2" s="319"/>
      <c r="G2" s="319"/>
      <c r="H2" s="319"/>
      <c r="I2" s="319"/>
      <c r="J2" s="319"/>
      <c r="K2" s="319"/>
      <c r="L2" s="320"/>
      <c r="M2" s="150"/>
    </row>
    <row r="3" spans="1:13" ht="35" customHeight="1" thickBot="1" x14ac:dyDescent="0.25">
      <c r="A3" s="147"/>
      <c r="B3" s="376" t="s">
        <v>248</v>
      </c>
      <c r="C3" s="376"/>
      <c r="D3" s="376"/>
      <c r="E3" s="376"/>
      <c r="F3" s="376"/>
      <c r="G3" s="376"/>
      <c r="H3" s="376"/>
      <c r="I3" s="376"/>
      <c r="J3" s="376"/>
      <c r="K3" s="376"/>
      <c r="L3" s="376"/>
      <c r="M3" s="149"/>
    </row>
    <row r="4" spans="1:13" ht="35" customHeight="1" thickBot="1" x14ac:dyDescent="0.25">
      <c r="A4" s="377"/>
      <c r="B4" s="379" t="s">
        <v>121</v>
      </c>
      <c r="C4" s="380"/>
      <c r="D4" s="380"/>
      <c r="E4" s="380"/>
      <c r="F4" s="380"/>
      <c r="G4" s="380"/>
      <c r="H4" s="380"/>
      <c r="I4" s="380"/>
      <c r="J4" s="380"/>
      <c r="K4" s="380"/>
      <c r="L4" s="381"/>
      <c r="M4" s="382"/>
    </row>
    <row r="5" spans="1:13" ht="35" customHeight="1" thickBot="1" x14ac:dyDescent="0.25">
      <c r="A5" s="378"/>
      <c r="B5" s="383" t="s">
        <v>249</v>
      </c>
      <c r="C5" s="383"/>
      <c r="D5" s="383"/>
      <c r="E5" s="383"/>
      <c r="F5" s="383"/>
      <c r="G5" s="383"/>
      <c r="H5" s="383"/>
      <c r="I5" s="383"/>
      <c r="J5" s="383"/>
      <c r="K5" s="383"/>
      <c r="L5" s="383"/>
      <c r="M5" s="382"/>
    </row>
    <row r="6" spans="1:13" ht="40" customHeight="1" thickBot="1" x14ac:dyDescent="0.25">
      <c r="A6" s="377"/>
      <c r="B6" s="384" t="s">
        <v>26</v>
      </c>
      <c r="C6" s="385"/>
      <c r="D6" s="385"/>
      <c r="E6" s="385"/>
      <c r="F6" s="385"/>
      <c r="G6" s="385"/>
      <c r="H6" s="385"/>
      <c r="I6" s="385"/>
      <c r="J6" s="385"/>
      <c r="K6" s="385"/>
      <c r="L6" s="386"/>
      <c r="M6" s="382"/>
    </row>
    <row r="7" spans="1:13" ht="10" customHeight="1" thickBot="1" x14ac:dyDescent="0.25">
      <c r="A7" s="388"/>
      <c r="B7" s="332"/>
      <c r="C7" s="332"/>
      <c r="D7" s="332"/>
      <c r="E7" s="332"/>
      <c r="F7" s="332"/>
      <c r="G7" s="332"/>
      <c r="H7" s="332"/>
      <c r="I7" s="332"/>
      <c r="J7" s="332"/>
      <c r="K7" s="332"/>
      <c r="L7" s="332"/>
      <c r="M7" s="389"/>
    </row>
    <row r="8" spans="1:13" ht="30" customHeight="1" thickBot="1" x14ac:dyDescent="0.25">
      <c r="A8" s="396"/>
      <c r="B8" s="390" t="s">
        <v>109</v>
      </c>
      <c r="C8" s="391"/>
      <c r="D8" s="391"/>
      <c r="E8" s="391"/>
      <c r="F8" s="391"/>
      <c r="G8" s="391"/>
      <c r="H8" s="391"/>
      <c r="I8" s="391"/>
      <c r="J8" s="391"/>
      <c r="K8" s="391"/>
      <c r="L8" s="392"/>
      <c r="M8" s="397"/>
    </row>
    <row r="9" spans="1:13" ht="30" customHeight="1" thickBot="1" x14ac:dyDescent="0.25">
      <c r="A9" s="396"/>
      <c r="B9" s="41" t="s">
        <v>12</v>
      </c>
      <c r="C9" s="40" t="s">
        <v>35</v>
      </c>
      <c r="D9" s="40" t="s">
        <v>13</v>
      </c>
      <c r="E9" s="40" t="s">
        <v>14</v>
      </c>
      <c r="F9" s="40" t="s">
        <v>91</v>
      </c>
      <c r="G9" s="40" t="s">
        <v>15</v>
      </c>
      <c r="H9" s="40"/>
      <c r="I9" s="40"/>
      <c r="J9" s="40"/>
      <c r="K9" s="40" t="s">
        <v>16</v>
      </c>
      <c r="L9" s="42" t="s">
        <v>91</v>
      </c>
      <c r="M9" s="397"/>
    </row>
    <row r="10" spans="1:13" ht="30" customHeight="1" x14ac:dyDescent="0.2">
      <c r="A10" s="396"/>
      <c r="B10" s="19">
        <v>1</v>
      </c>
      <c r="C10" s="20" t="s">
        <v>19</v>
      </c>
      <c r="D10" s="95"/>
      <c r="E10" s="95"/>
      <c r="F10" s="43" t="s">
        <v>78</v>
      </c>
      <c r="G10" s="96" t="str">
        <f>GRUPOS!C11</f>
        <v>VICTOR PUTTINI/JURANDIR JR</v>
      </c>
      <c r="H10" s="21">
        <v>21</v>
      </c>
      <c r="I10" s="21" t="s">
        <v>22</v>
      </c>
      <c r="J10" s="21">
        <v>10</v>
      </c>
      <c r="K10" s="96" t="str">
        <f>GRUPOS!C14</f>
        <v>ANDRI/JOAQUIM</v>
      </c>
      <c r="L10" s="22" t="s">
        <v>87</v>
      </c>
      <c r="M10" s="397"/>
    </row>
    <row r="11" spans="1:13" ht="30" customHeight="1" x14ac:dyDescent="0.2">
      <c r="A11" s="396"/>
      <c r="B11" s="23">
        <v>2</v>
      </c>
      <c r="C11" s="24" t="s">
        <v>21</v>
      </c>
      <c r="D11" s="97"/>
      <c r="E11" s="97"/>
      <c r="F11" s="25" t="s">
        <v>79</v>
      </c>
      <c r="G11" s="98" t="str">
        <f>GRUPOS!G11</f>
        <v>FELIPE COSTA/RAPHAEL BESSA</v>
      </c>
      <c r="H11" s="25">
        <v>21</v>
      </c>
      <c r="I11" s="25" t="s">
        <v>22</v>
      </c>
      <c r="J11" s="25">
        <v>15</v>
      </c>
      <c r="K11" s="98" t="str">
        <f>GRUPOS!G14</f>
        <v>VINÍCIUS ALMEIDA/GUI RODRIGUES</v>
      </c>
      <c r="L11" s="26" t="s">
        <v>88</v>
      </c>
      <c r="M11" s="397"/>
    </row>
    <row r="12" spans="1:13" ht="30" customHeight="1" thickBot="1" x14ac:dyDescent="0.25">
      <c r="A12" s="396"/>
      <c r="B12" s="27">
        <v>3</v>
      </c>
      <c r="C12" s="28" t="s">
        <v>92</v>
      </c>
      <c r="D12" s="99"/>
      <c r="E12" s="99"/>
      <c r="F12" s="100" t="s">
        <v>80</v>
      </c>
      <c r="G12" s="101" t="str">
        <f>GRUPOS!K11</f>
        <v>MATEUS LIRA/AUGUSTO</v>
      </c>
      <c r="H12" s="29">
        <v>14</v>
      </c>
      <c r="I12" s="29" t="s">
        <v>22</v>
      </c>
      <c r="J12" s="29">
        <v>21</v>
      </c>
      <c r="K12" s="101" t="str">
        <f>GRUPOS!K14</f>
        <v>LEONARDO/MARCUS VINÍCIUS</v>
      </c>
      <c r="L12" s="102" t="s">
        <v>89</v>
      </c>
      <c r="M12" s="397"/>
    </row>
    <row r="13" spans="1:13" ht="30" customHeight="1" x14ac:dyDescent="0.2">
      <c r="A13" s="396"/>
      <c r="B13" s="19">
        <v>4</v>
      </c>
      <c r="C13" s="20" t="s">
        <v>19</v>
      </c>
      <c r="D13" s="103"/>
      <c r="E13" s="103"/>
      <c r="F13" s="43" t="s">
        <v>81</v>
      </c>
      <c r="G13" s="96" t="str">
        <f>GRUPOS!C12</f>
        <v>JOÃO GUILHERME/FELIPE BAPTISTA</v>
      </c>
      <c r="H13" s="21">
        <v>21</v>
      </c>
      <c r="I13" s="21" t="s">
        <v>22</v>
      </c>
      <c r="J13" s="21">
        <v>9</v>
      </c>
      <c r="K13" s="96" t="str">
        <f>GRUPOS!C13</f>
        <v>GUI GERREIRO/THEO PEREIRA</v>
      </c>
      <c r="L13" s="22" t="s">
        <v>84</v>
      </c>
      <c r="M13" s="397"/>
    </row>
    <row r="14" spans="1:13" ht="30" customHeight="1" x14ac:dyDescent="0.2">
      <c r="A14" s="396"/>
      <c r="B14" s="23">
        <v>5</v>
      </c>
      <c r="C14" s="24" t="s">
        <v>21</v>
      </c>
      <c r="D14" s="97"/>
      <c r="E14" s="97"/>
      <c r="F14" s="25" t="s">
        <v>82</v>
      </c>
      <c r="G14" s="98" t="str">
        <f>GRUPOS!G12</f>
        <v>THIAGO FELIPE/MURILO ALVES</v>
      </c>
      <c r="H14" s="25">
        <v>15</v>
      </c>
      <c r="I14" s="25" t="s">
        <v>22</v>
      </c>
      <c r="J14" s="25">
        <v>21</v>
      </c>
      <c r="K14" s="98" t="str">
        <f>GRUPOS!G13</f>
        <v>LUCAS MENDES/FELIPE ROSSI</v>
      </c>
      <c r="L14" s="26" t="s">
        <v>85</v>
      </c>
      <c r="M14" s="397"/>
    </row>
    <row r="15" spans="1:13" ht="30" customHeight="1" thickBot="1" x14ac:dyDescent="0.25">
      <c r="A15" s="396"/>
      <c r="B15" s="27">
        <v>6</v>
      </c>
      <c r="C15" s="28" t="s">
        <v>92</v>
      </c>
      <c r="D15" s="99"/>
      <c r="E15" s="99"/>
      <c r="F15" s="29" t="s">
        <v>83</v>
      </c>
      <c r="G15" s="101" t="str">
        <f>GRUPOS!K12</f>
        <v>CAIO MARLEY/VAVO GUERREIRO</v>
      </c>
      <c r="H15" s="29">
        <v>8</v>
      </c>
      <c r="I15" s="29" t="s">
        <v>22</v>
      </c>
      <c r="J15" s="29">
        <v>21</v>
      </c>
      <c r="K15" s="101" t="str">
        <f>GRUPOS!K13</f>
        <v>ENZO ALEXANDRE/ARTHUR AURÉLIO</v>
      </c>
      <c r="L15" s="33" t="s">
        <v>86</v>
      </c>
      <c r="M15" s="397"/>
    </row>
    <row r="16" spans="1:13" ht="30" customHeight="1" x14ac:dyDescent="0.2">
      <c r="A16" s="396"/>
      <c r="B16" s="30">
        <v>7</v>
      </c>
      <c r="C16" s="20" t="s">
        <v>19</v>
      </c>
      <c r="D16" s="95"/>
      <c r="E16" s="95"/>
      <c r="F16" s="21" t="s">
        <v>78</v>
      </c>
      <c r="G16" s="96" t="str">
        <f>GRUPOS!C11</f>
        <v>VICTOR PUTTINI/JURANDIR JR</v>
      </c>
      <c r="H16" s="21">
        <v>21</v>
      </c>
      <c r="I16" s="21" t="s">
        <v>22</v>
      </c>
      <c r="J16" s="21">
        <v>19</v>
      </c>
      <c r="K16" s="96" t="str">
        <f>GRUPOS!C13</f>
        <v>GUI GERREIRO/THEO PEREIRA</v>
      </c>
      <c r="L16" s="31" t="s">
        <v>84</v>
      </c>
      <c r="M16" s="397"/>
    </row>
    <row r="17" spans="1:13" ht="30" customHeight="1" x14ac:dyDescent="0.2">
      <c r="A17" s="396"/>
      <c r="B17" s="23">
        <v>8</v>
      </c>
      <c r="C17" s="24" t="s">
        <v>21</v>
      </c>
      <c r="D17" s="104"/>
      <c r="E17" s="104"/>
      <c r="F17" s="25" t="s">
        <v>79</v>
      </c>
      <c r="G17" s="98" t="str">
        <f>GRUPOS!G11</f>
        <v>FELIPE COSTA/RAPHAEL BESSA</v>
      </c>
      <c r="H17" s="25">
        <v>18</v>
      </c>
      <c r="I17" s="25" t="s">
        <v>22</v>
      </c>
      <c r="J17" s="25">
        <v>21</v>
      </c>
      <c r="K17" s="98" t="str">
        <f>GRUPOS!G13</f>
        <v>LUCAS MENDES/FELIPE ROSSI</v>
      </c>
      <c r="L17" s="26" t="s">
        <v>85</v>
      </c>
      <c r="M17" s="397"/>
    </row>
    <row r="18" spans="1:13" ht="30" customHeight="1" thickBot="1" x14ac:dyDescent="0.25">
      <c r="A18" s="396"/>
      <c r="B18" s="32">
        <v>9</v>
      </c>
      <c r="C18" s="28" t="s">
        <v>92</v>
      </c>
      <c r="D18" s="99"/>
      <c r="E18" s="99"/>
      <c r="F18" s="29" t="s">
        <v>80</v>
      </c>
      <c r="G18" s="101" t="str">
        <f>GRUPOS!K11</f>
        <v>MATEUS LIRA/AUGUSTO</v>
      </c>
      <c r="H18" s="29">
        <v>21</v>
      </c>
      <c r="I18" s="29" t="s">
        <v>22</v>
      </c>
      <c r="J18" s="29">
        <v>18</v>
      </c>
      <c r="K18" s="101" t="str">
        <f>GRUPOS!K13</f>
        <v>ENZO ALEXANDRE/ARTHUR AURÉLIO</v>
      </c>
      <c r="L18" s="33" t="s">
        <v>86</v>
      </c>
      <c r="M18" s="397"/>
    </row>
    <row r="19" spans="1:13" ht="30" customHeight="1" x14ac:dyDescent="0.2">
      <c r="A19" s="396"/>
      <c r="B19" s="19">
        <v>10</v>
      </c>
      <c r="C19" s="20" t="s">
        <v>19</v>
      </c>
      <c r="D19" s="95"/>
      <c r="E19" s="95"/>
      <c r="F19" s="21" t="s">
        <v>81</v>
      </c>
      <c r="G19" s="96" t="str">
        <f>GRUPOS!C12</f>
        <v>JOÃO GUILHERME/FELIPE BAPTISTA</v>
      </c>
      <c r="H19" s="21">
        <v>21</v>
      </c>
      <c r="I19" s="21" t="s">
        <v>22</v>
      </c>
      <c r="J19" s="21">
        <v>17</v>
      </c>
      <c r="K19" s="96" t="str">
        <f>GRUPOS!C14</f>
        <v>ANDRI/JOAQUIM</v>
      </c>
      <c r="L19" s="31" t="s">
        <v>87</v>
      </c>
      <c r="M19" s="397"/>
    </row>
    <row r="20" spans="1:13" ht="30" customHeight="1" x14ac:dyDescent="0.2">
      <c r="A20" s="396"/>
      <c r="B20" s="23">
        <v>11</v>
      </c>
      <c r="C20" s="24" t="s">
        <v>21</v>
      </c>
      <c r="D20" s="97"/>
      <c r="E20" s="97"/>
      <c r="F20" s="25" t="s">
        <v>82</v>
      </c>
      <c r="G20" s="98" t="str">
        <f>GRUPOS!G12</f>
        <v>THIAGO FELIPE/MURILO ALVES</v>
      </c>
      <c r="H20" s="25">
        <v>12</v>
      </c>
      <c r="I20" s="25" t="s">
        <v>22</v>
      </c>
      <c r="J20" s="25">
        <v>21</v>
      </c>
      <c r="K20" s="98" t="str">
        <f>GRUPOS!G14</f>
        <v>VINÍCIUS ALMEIDA/GUI RODRIGUES</v>
      </c>
      <c r="L20" s="26" t="s">
        <v>88</v>
      </c>
      <c r="M20" s="397"/>
    </row>
    <row r="21" spans="1:13" ht="30" customHeight="1" thickBot="1" x14ac:dyDescent="0.25">
      <c r="A21" s="396"/>
      <c r="B21" s="32">
        <v>12</v>
      </c>
      <c r="C21" s="28" t="s">
        <v>92</v>
      </c>
      <c r="D21" s="105" t="s">
        <v>236</v>
      </c>
      <c r="E21" s="105"/>
      <c r="F21" s="29" t="s">
        <v>83</v>
      </c>
      <c r="G21" s="101" t="str">
        <f>GRUPOS!K12</f>
        <v>CAIO MARLEY/VAVO GUERREIRO</v>
      </c>
      <c r="H21" s="29">
        <v>21</v>
      </c>
      <c r="I21" s="29" t="s">
        <v>22</v>
      </c>
      <c r="J21" s="29">
        <v>15</v>
      </c>
      <c r="K21" s="101" t="str">
        <f>GRUPOS!K14</f>
        <v>LEONARDO/MARCUS VINÍCIUS</v>
      </c>
      <c r="L21" s="33" t="s">
        <v>89</v>
      </c>
      <c r="M21" s="397"/>
    </row>
    <row r="22" spans="1:13" ht="30" customHeight="1" thickBot="1" x14ac:dyDescent="0.25">
      <c r="A22" s="396"/>
      <c r="B22" s="19">
        <v>13</v>
      </c>
      <c r="C22" s="20" t="s">
        <v>19</v>
      </c>
      <c r="D22" s="103"/>
      <c r="E22" s="103"/>
      <c r="F22" s="21" t="s">
        <v>78</v>
      </c>
      <c r="G22" s="96" t="str">
        <f>GRUPOS!C11</f>
        <v>VICTOR PUTTINI/JURANDIR JR</v>
      </c>
      <c r="H22" s="29">
        <v>21</v>
      </c>
      <c r="I22" s="29" t="s">
        <v>22</v>
      </c>
      <c r="J22" s="29">
        <v>15</v>
      </c>
      <c r="K22" s="96" t="str">
        <f>GRUPOS!C12</f>
        <v>JOÃO GUILHERME/FELIPE BAPTISTA</v>
      </c>
      <c r="L22" s="31" t="s">
        <v>81</v>
      </c>
      <c r="M22" s="397"/>
    </row>
    <row r="23" spans="1:13" ht="30" customHeight="1" x14ac:dyDescent="0.2">
      <c r="A23" s="396"/>
      <c r="B23" s="23">
        <v>14</v>
      </c>
      <c r="C23" s="24" t="s">
        <v>21</v>
      </c>
      <c r="D23" s="97"/>
      <c r="E23" s="97"/>
      <c r="F23" s="25" t="s">
        <v>79</v>
      </c>
      <c r="G23" s="98" t="str">
        <f>GRUPOS!G11</f>
        <v>FELIPE COSTA/RAPHAEL BESSA</v>
      </c>
      <c r="H23" s="25">
        <v>12</v>
      </c>
      <c r="I23" s="25" t="s">
        <v>22</v>
      </c>
      <c r="J23" s="25">
        <v>21</v>
      </c>
      <c r="K23" s="98" t="str">
        <f>GRUPOS!G12</f>
        <v>THIAGO FELIPE/MURILO ALVES</v>
      </c>
      <c r="L23" s="26" t="s">
        <v>82</v>
      </c>
      <c r="M23" s="397"/>
    </row>
    <row r="24" spans="1:13" ht="30" customHeight="1" thickBot="1" x14ac:dyDescent="0.25">
      <c r="A24" s="396"/>
      <c r="B24" s="32">
        <v>15</v>
      </c>
      <c r="C24" s="28" t="s">
        <v>92</v>
      </c>
      <c r="D24" s="105"/>
      <c r="E24" s="105"/>
      <c r="F24" s="29" t="s">
        <v>80</v>
      </c>
      <c r="G24" s="101" t="str">
        <f>GRUPOS!K11</f>
        <v>MATEUS LIRA/AUGUSTO</v>
      </c>
      <c r="H24" s="25">
        <v>18</v>
      </c>
      <c r="I24" s="25" t="s">
        <v>22</v>
      </c>
      <c r="J24" s="25">
        <v>21</v>
      </c>
      <c r="K24" s="101" t="str">
        <f>GRUPOS!K12</f>
        <v>CAIO MARLEY/VAVO GUERREIRO</v>
      </c>
      <c r="L24" s="33" t="s">
        <v>83</v>
      </c>
      <c r="M24" s="397"/>
    </row>
    <row r="25" spans="1:13" ht="30" customHeight="1" x14ac:dyDescent="0.2">
      <c r="A25" s="396"/>
      <c r="B25" s="19">
        <v>16</v>
      </c>
      <c r="C25" s="20" t="s">
        <v>19</v>
      </c>
      <c r="D25" s="95"/>
      <c r="E25" s="95"/>
      <c r="F25" s="21" t="s">
        <v>84</v>
      </c>
      <c r="G25" s="96" t="str">
        <f>GRUPOS!C13</f>
        <v>GUI GERREIRO/THEO PEREIRA</v>
      </c>
      <c r="H25" s="25">
        <v>18</v>
      </c>
      <c r="I25" s="25" t="s">
        <v>22</v>
      </c>
      <c r="J25" s="25">
        <v>21</v>
      </c>
      <c r="K25" s="96" t="str">
        <f>GRUPOS!C14</f>
        <v>ANDRI/JOAQUIM</v>
      </c>
      <c r="L25" s="31" t="s">
        <v>87</v>
      </c>
      <c r="M25" s="397"/>
    </row>
    <row r="26" spans="1:13" ht="30" customHeight="1" x14ac:dyDescent="0.2">
      <c r="A26" s="396"/>
      <c r="B26" s="23">
        <v>17</v>
      </c>
      <c r="C26" s="24" t="s">
        <v>21</v>
      </c>
      <c r="D26" s="97"/>
      <c r="E26" s="97"/>
      <c r="F26" s="25" t="s">
        <v>85</v>
      </c>
      <c r="G26" s="98" t="str">
        <f>GRUPOS!G13</f>
        <v>LUCAS MENDES/FELIPE ROSSI</v>
      </c>
      <c r="H26" s="25">
        <v>12</v>
      </c>
      <c r="I26" s="25" t="s">
        <v>22</v>
      </c>
      <c r="J26" s="25">
        <v>21</v>
      </c>
      <c r="K26" s="98" t="str">
        <f>GRUPOS!G14</f>
        <v>VINÍCIUS ALMEIDA/GUI RODRIGUES</v>
      </c>
      <c r="L26" s="26" t="s">
        <v>88</v>
      </c>
      <c r="M26" s="397"/>
    </row>
    <row r="27" spans="1:13" ht="30" customHeight="1" thickBot="1" x14ac:dyDescent="0.25">
      <c r="A27" s="396"/>
      <c r="B27" s="32">
        <v>18</v>
      </c>
      <c r="C27" s="28" t="s">
        <v>92</v>
      </c>
      <c r="D27" s="99"/>
      <c r="E27" s="99"/>
      <c r="F27" s="29" t="s">
        <v>86</v>
      </c>
      <c r="G27" s="101" t="str">
        <f>GRUPOS!K13</f>
        <v>ENZO ALEXANDRE/ARTHUR AURÉLIO</v>
      </c>
      <c r="H27" s="25">
        <v>18</v>
      </c>
      <c r="I27" s="25" t="s">
        <v>22</v>
      </c>
      <c r="J27" s="25">
        <v>21</v>
      </c>
      <c r="K27" s="101" t="str">
        <f>GRUPOS!K14</f>
        <v>LEONARDO/MARCUS VINÍCIUS</v>
      </c>
      <c r="L27" s="33" t="s">
        <v>89</v>
      </c>
      <c r="M27" s="397"/>
    </row>
    <row r="28" spans="1:13" ht="10" customHeight="1" thickBot="1" x14ac:dyDescent="0.25">
      <c r="A28" s="396"/>
      <c r="B28" s="387"/>
      <c r="C28" s="387"/>
      <c r="D28" s="387"/>
      <c r="E28" s="387"/>
      <c r="F28" s="387"/>
      <c r="G28" s="387"/>
      <c r="H28" s="387"/>
      <c r="I28" s="387"/>
      <c r="J28" s="387"/>
      <c r="K28" s="387"/>
      <c r="L28" s="387"/>
      <c r="M28" s="397"/>
    </row>
    <row r="29" spans="1:13" ht="30" customHeight="1" thickBot="1" x14ac:dyDescent="0.25">
      <c r="A29" s="396"/>
      <c r="B29" s="390" t="s">
        <v>223</v>
      </c>
      <c r="C29" s="391"/>
      <c r="D29" s="391"/>
      <c r="E29" s="391"/>
      <c r="F29" s="391"/>
      <c r="G29" s="391"/>
      <c r="H29" s="391"/>
      <c r="I29" s="391"/>
      <c r="J29" s="391"/>
      <c r="K29" s="391"/>
      <c r="L29" s="392"/>
      <c r="M29" s="397"/>
    </row>
    <row r="30" spans="1:13" ht="30" customHeight="1" x14ac:dyDescent="0.2">
      <c r="A30" s="396"/>
      <c r="B30" s="19">
        <v>19</v>
      </c>
      <c r="C30" s="34" t="s">
        <v>93</v>
      </c>
      <c r="D30" s="95"/>
      <c r="E30" s="106"/>
      <c r="F30" s="107" t="s">
        <v>1</v>
      </c>
      <c r="G30" s="108">
        <f>'AVERAGE MASC'!C45</f>
        <v>0</v>
      </c>
      <c r="H30" s="21"/>
      <c r="I30" s="21" t="s">
        <v>22</v>
      </c>
      <c r="J30" s="21"/>
      <c r="K30" s="109">
        <f>'AVERAGE MASC'!C52</f>
        <v>0</v>
      </c>
      <c r="L30" s="46" t="s">
        <v>8</v>
      </c>
      <c r="M30" s="397"/>
    </row>
    <row r="31" spans="1:13" ht="30" customHeight="1" x14ac:dyDescent="0.2">
      <c r="A31" s="396"/>
      <c r="B31" s="35">
        <v>20</v>
      </c>
      <c r="C31" s="36" t="s">
        <v>93</v>
      </c>
      <c r="D31" s="104"/>
      <c r="E31" s="110"/>
      <c r="F31" s="111" t="s">
        <v>2</v>
      </c>
      <c r="G31" s="112">
        <f>'AVERAGE MASC'!C48</f>
        <v>0</v>
      </c>
      <c r="H31" s="25"/>
      <c r="I31" s="25" t="s">
        <v>22</v>
      </c>
      <c r="J31" s="25"/>
      <c r="K31" s="113">
        <f>'AVERAGE MASC'!C49</f>
        <v>0</v>
      </c>
      <c r="L31" s="47" t="s">
        <v>5</v>
      </c>
      <c r="M31" s="397"/>
    </row>
    <row r="32" spans="1:13" ht="30" customHeight="1" x14ac:dyDescent="0.2">
      <c r="A32" s="396"/>
      <c r="B32" s="35">
        <v>21</v>
      </c>
      <c r="C32" s="36" t="s">
        <v>93</v>
      </c>
      <c r="D32" s="104"/>
      <c r="E32" s="110"/>
      <c r="F32" s="111" t="s">
        <v>3</v>
      </c>
      <c r="G32" s="112">
        <f>'AVERAGE MASC'!C46</f>
        <v>0</v>
      </c>
      <c r="H32" s="25"/>
      <c r="I32" s="25" t="s">
        <v>22</v>
      </c>
      <c r="J32" s="25"/>
      <c r="K32" s="113">
        <f>'AVERAGE MASC'!C51</f>
        <v>0</v>
      </c>
      <c r="L32" s="47" t="s">
        <v>7</v>
      </c>
      <c r="M32" s="397"/>
    </row>
    <row r="33" spans="1:13" ht="30" customHeight="1" thickBot="1" x14ac:dyDescent="0.25">
      <c r="A33" s="396"/>
      <c r="B33" s="27">
        <v>22</v>
      </c>
      <c r="C33" s="37" t="s">
        <v>93</v>
      </c>
      <c r="D33" s="105"/>
      <c r="E33" s="114"/>
      <c r="F33" s="115" t="s">
        <v>4</v>
      </c>
      <c r="G33" s="116">
        <f>'AVERAGE MASC'!C47</f>
        <v>0</v>
      </c>
      <c r="H33" s="29"/>
      <c r="I33" s="29" t="s">
        <v>22</v>
      </c>
      <c r="J33" s="29"/>
      <c r="K33" s="117">
        <f>'AVERAGE MASC'!C50</f>
        <v>0</v>
      </c>
      <c r="L33" s="50" t="s">
        <v>6</v>
      </c>
      <c r="M33" s="397"/>
    </row>
    <row r="34" spans="1:13" ht="10" customHeight="1" thickBot="1" x14ac:dyDescent="0.25">
      <c r="A34" s="396"/>
      <c r="B34" s="387"/>
      <c r="C34" s="387"/>
      <c r="D34" s="387"/>
      <c r="E34" s="387"/>
      <c r="F34" s="387"/>
      <c r="G34" s="387"/>
      <c r="H34" s="387"/>
      <c r="I34" s="387"/>
      <c r="J34" s="387"/>
      <c r="K34" s="387"/>
      <c r="L34" s="387"/>
      <c r="M34" s="397"/>
    </row>
    <row r="35" spans="1:13" ht="30" customHeight="1" thickBot="1" x14ac:dyDescent="0.25">
      <c r="A35" s="396"/>
      <c r="B35" s="393" t="s">
        <v>48</v>
      </c>
      <c r="C35" s="394"/>
      <c r="D35" s="394"/>
      <c r="E35" s="394"/>
      <c r="F35" s="394"/>
      <c r="G35" s="394"/>
      <c r="H35" s="394"/>
      <c r="I35" s="394"/>
      <c r="J35" s="394"/>
      <c r="K35" s="394"/>
      <c r="L35" s="395"/>
      <c r="M35" s="397"/>
    </row>
    <row r="36" spans="1:13" ht="30" customHeight="1" x14ac:dyDescent="0.2">
      <c r="A36" s="396"/>
      <c r="B36" s="19">
        <v>23</v>
      </c>
      <c r="C36" s="34" t="s">
        <v>94</v>
      </c>
      <c r="D36" s="95"/>
      <c r="E36" s="95"/>
      <c r="F36" s="44" t="s">
        <v>224</v>
      </c>
      <c r="G36" s="45" t="s">
        <v>267</v>
      </c>
      <c r="H36" s="21"/>
      <c r="I36" s="34" t="s">
        <v>22</v>
      </c>
      <c r="J36" s="21"/>
      <c r="K36" s="118" t="s">
        <v>268</v>
      </c>
      <c r="L36" s="46" t="s">
        <v>225</v>
      </c>
      <c r="M36" s="397"/>
    </row>
    <row r="37" spans="1:13" ht="30" customHeight="1" thickBot="1" x14ac:dyDescent="0.25">
      <c r="A37" s="396"/>
      <c r="B37" s="27">
        <v>24</v>
      </c>
      <c r="C37" s="37" t="s">
        <v>94</v>
      </c>
      <c r="D37" s="105"/>
      <c r="E37" s="105"/>
      <c r="F37" s="48" t="s">
        <v>226</v>
      </c>
      <c r="G37" s="49"/>
      <c r="H37" s="29"/>
      <c r="I37" s="37" t="s">
        <v>22</v>
      </c>
      <c r="J37" s="29"/>
      <c r="K37" s="119"/>
      <c r="L37" s="50" t="s">
        <v>227</v>
      </c>
      <c r="M37" s="397"/>
    </row>
    <row r="38" spans="1:13" ht="10" customHeight="1" thickBot="1" x14ac:dyDescent="0.25">
      <c r="A38" s="396"/>
      <c r="B38" s="387"/>
      <c r="C38" s="387"/>
      <c r="D38" s="387"/>
      <c r="E38" s="387"/>
      <c r="F38" s="387"/>
      <c r="G38" s="387"/>
      <c r="H38" s="387"/>
      <c r="I38" s="387"/>
      <c r="J38" s="387"/>
      <c r="K38" s="387"/>
      <c r="L38" s="387"/>
      <c r="M38" s="397"/>
    </row>
    <row r="39" spans="1:13" ht="30" customHeight="1" thickBot="1" x14ac:dyDescent="0.25">
      <c r="A39" s="396"/>
      <c r="B39" s="390" t="s">
        <v>107</v>
      </c>
      <c r="C39" s="391"/>
      <c r="D39" s="391"/>
      <c r="E39" s="391"/>
      <c r="F39" s="391"/>
      <c r="G39" s="391"/>
      <c r="H39" s="391"/>
      <c r="I39" s="391"/>
      <c r="J39" s="391"/>
      <c r="K39" s="391"/>
      <c r="L39" s="392"/>
      <c r="M39" s="397"/>
    </row>
    <row r="40" spans="1:13" ht="30" customHeight="1" thickBot="1" x14ac:dyDescent="0.25">
      <c r="A40" s="396"/>
      <c r="B40" s="38">
        <v>25</v>
      </c>
      <c r="C40" s="18" t="s">
        <v>95</v>
      </c>
      <c r="D40" s="120"/>
      <c r="E40" s="121"/>
      <c r="F40" s="122" t="s">
        <v>228</v>
      </c>
      <c r="G40" s="123"/>
      <c r="H40" s="39"/>
      <c r="I40" s="18" t="s">
        <v>22</v>
      </c>
      <c r="J40" s="39"/>
      <c r="K40" s="124"/>
      <c r="L40" s="122" t="s">
        <v>229</v>
      </c>
      <c r="M40" s="397"/>
    </row>
    <row r="41" spans="1:13" ht="10" customHeight="1" thickBot="1" x14ac:dyDescent="0.25">
      <c r="A41" s="396"/>
      <c r="B41" s="387"/>
      <c r="C41" s="387"/>
      <c r="D41" s="387"/>
      <c r="E41" s="387"/>
      <c r="F41" s="387"/>
      <c r="G41" s="387"/>
      <c r="H41" s="387"/>
      <c r="I41" s="387"/>
      <c r="J41" s="387"/>
      <c r="K41" s="387"/>
      <c r="L41" s="387"/>
      <c r="M41" s="397"/>
    </row>
    <row r="42" spans="1:13" ht="30" customHeight="1" thickBot="1" x14ac:dyDescent="0.25">
      <c r="A42" s="396"/>
      <c r="B42" s="390" t="s">
        <v>108</v>
      </c>
      <c r="C42" s="391"/>
      <c r="D42" s="391"/>
      <c r="E42" s="391"/>
      <c r="F42" s="391"/>
      <c r="G42" s="391"/>
      <c r="H42" s="391"/>
      <c r="I42" s="391"/>
      <c r="J42" s="391"/>
      <c r="K42" s="391"/>
      <c r="L42" s="392"/>
      <c r="M42" s="397"/>
    </row>
    <row r="43" spans="1:13" ht="30" customHeight="1" thickBot="1" x14ac:dyDescent="0.25">
      <c r="A43" s="396"/>
      <c r="B43" s="38">
        <v>26</v>
      </c>
      <c r="C43" s="18" t="s">
        <v>96</v>
      </c>
      <c r="D43" s="120"/>
      <c r="E43" s="121"/>
      <c r="F43" s="122" t="s">
        <v>230</v>
      </c>
      <c r="G43" s="125"/>
      <c r="H43" s="39"/>
      <c r="I43" s="18" t="s">
        <v>22</v>
      </c>
      <c r="J43" s="39"/>
      <c r="K43" s="126"/>
      <c r="L43" s="122" t="s">
        <v>231</v>
      </c>
      <c r="M43" s="397"/>
    </row>
    <row r="44" spans="1:13" ht="10" customHeight="1" thickBot="1" x14ac:dyDescent="0.25">
      <c r="A44" s="191"/>
      <c r="B44" s="192"/>
      <c r="C44" s="192"/>
      <c r="D44" s="192"/>
      <c r="E44" s="192"/>
      <c r="F44" s="192"/>
      <c r="G44" s="192"/>
      <c r="H44" s="192"/>
      <c r="I44" s="192"/>
      <c r="J44" s="192"/>
      <c r="K44" s="192"/>
      <c r="L44" s="192"/>
      <c r="M44" s="193"/>
    </row>
    <row r="46" spans="1:13" ht="30" customHeight="1" x14ac:dyDescent="0.2">
      <c r="H46"/>
      <c r="J46"/>
    </row>
    <row r="47" spans="1:13" ht="30" customHeight="1" x14ac:dyDescent="0.2">
      <c r="H47"/>
      <c r="J47"/>
    </row>
    <row r="48" spans="1:13" ht="30" customHeight="1" x14ac:dyDescent="0.2">
      <c r="H48"/>
      <c r="J48"/>
    </row>
    <row r="49" spans="8:10" ht="30" customHeight="1" x14ac:dyDescent="0.2">
      <c r="H49"/>
      <c r="J49"/>
    </row>
    <row r="50" spans="8:10" ht="30" customHeight="1" x14ac:dyDescent="0.2">
      <c r="H50"/>
      <c r="J50"/>
    </row>
    <row r="51" spans="8:10" ht="30" customHeight="1" x14ac:dyDescent="0.2">
      <c r="H51"/>
      <c r="J51"/>
    </row>
    <row r="52" spans="8:10" ht="30" customHeight="1" x14ac:dyDescent="0.2">
      <c r="H52"/>
      <c r="J52"/>
    </row>
    <row r="53" spans="8:10" ht="30" customHeight="1" x14ac:dyDescent="0.2">
      <c r="H53"/>
      <c r="J53"/>
    </row>
    <row r="54" spans="8:10" ht="30" customHeight="1" x14ac:dyDescent="0.2">
      <c r="H54"/>
      <c r="J54"/>
    </row>
    <row r="55" spans="8:10" ht="30" customHeight="1" x14ac:dyDescent="0.2">
      <c r="H55"/>
      <c r="J55"/>
    </row>
    <row r="56" spans="8:10" ht="30" customHeight="1" x14ac:dyDescent="0.2">
      <c r="H56"/>
      <c r="J56"/>
    </row>
    <row r="57" spans="8:10" ht="30" customHeight="1" x14ac:dyDescent="0.2">
      <c r="H57"/>
      <c r="J57"/>
    </row>
    <row r="58" spans="8:10" ht="30" customHeight="1" x14ac:dyDescent="0.2"/>
    <row r="59" spans="8:10" ht="30" customHeight="1" x14ac:dyDescent="0.2"/>
    <row r="60" spans="8:10" ht="30" customHeight="1" x14ac:dyDescent="0.2"/>
    <row r="61" spans="8:10" ht="30" customHeight="1" x14ac:dyDescent="0.2"/>
    <row r="62" spans="8:10" ht="30" customHeight="1" x14ac:dyDescent="0.2"/>
  </sheetData>
  <mergeCells count="21">
    <mergeCell ref="B38:L38"/>
    <mergeCell ref="B41:L41"/>
    <mergeCell ref="A44:M44"/>
    <mergeCell ref="A7:M7"/>
    <mergeCell ref="B8:L8"/>
    <mergeCell ref="B29:L29"/>
    <mergeCell ref="B35:L35"/>
    <mergeCell ref="B39:L39"/>
    <mergeCell ref="B42:L42"/>
    <mergeCell ref="A8:A43"/>
    <mergeCell ref="M8:M43"/>
    <mergeCell ref="B28:L28"/>
    <mergeCell ref="B34:L34"/>
    <mergeCell ref="A1:M1"/>
    <mergeCell ref="B2:L2"/>
    <mergeCell ref="B3:L3"/>
    <mergeCell ref="A4:A6"/>
    <mergeCell ref="B4:L4"/>
    <mergeCell ref="M4:M6"/>
    <mergeCell ref="B5:L5"/>
    <mergeCell ref="B6:L6"/>
  </mergeCells>
  <printOptions horizontalCentered="1" verticalCentered="1"/>
  <pageMargins left="0.19685039370078741" right="0.19685039370078741" top="0.19685039370078741" bottom="0.19685039370078741" header="0" footer="0"/>
  <pageSetup paperSize="9" scale="5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4F345-6CE0-4AC9-BD10-250BA57237FA}">
  <sheetPr>
    <pageSetUpPr fitToPage="1"/>
  </sheetPr>
  <dimension ref="A1:Q63"/>
  <sheetViews>
    <sheetView showGridLines="0" zoomScale="85" zoomScaleNormal="85" workbookViewId="0">
      <selection activeCell="F14" sqref="F14"/>
    </sheetView>
  </sheetViews>
  <sheetFormatPr baseColWidth="10" defaultColWidth="8.83203125" defaultRowHeight="15" x14ac:dyDescent="0.2"/>
  <cols>
    <col min="1" max="1" width="1.6640625" customWidth="1"/>
    <col min="2" max="2" width="27.5" bestFit="1" customWidth="1"/>
    <col min="3" max="4" width="8.6640625" customWidth="1"/>
    <col min="5" max="5" width="1.6640625" customWidth="1"/>
    <col min="6" max="6" width="32.5" bestFit="1" customWidth="1"/>
    <col min="7" max="8" width="8.6640625" customWidth="1"/>
    <col min="9" max="9" width="1.6640625" customWidth="1"/>
    <col min="10" max="10" width="24.33203125" bestFit="1" customWidth="1"/>
    <col min="11" max="12" width="8.6640625" customWidth="1"/>
    <col min="13" max="13" width="1.6640625" customWidth="1"/>
    <col min="14" max="14" width="27.6640625" bestFit="1" customWidth="1"/>
    <col min="15" max="16" width="8.6640625" customWidth="1"/>
    <col min="17" max="17" width="1.6640625" customWidth="1"/>
  </cols>
  <sheetData>
    <row r="1" spans="1:17" ht="10" customHeight="1" thickBot="1" x14ac:dyDescent="0.25">
      <c r="A1" s="174"/>
      <c r="B1" s="175"/>
      <c r="C1" s="175"/>
      <c r="D1" s="175"/>
      <c r="E1" s="175"/>
      <c r="F1" s="175"/>
      <c r="G1" s="175"/>
      <c r="H1" s="175"/>
      <c r="I1" s="175"/>
      <c r="J1" s="175"/>
      <c r="K1" s="175"/>
      <c r="L1" s="175"/>
      <c r="M1" s="175"/>
      <c r="N1" s="175"/>
      <c r="O1" s="175"/>
      <c r="P1" s="175"/>
      <c r="Q1" s="176"/>
    </row>
    <row r="2" spans="1:17" ht="60" customHeight="1" thickBot="1" x14ac:dyDescent="0.25">
      <c r="A2" s="152"/>
      <c r="B2" s="177" t="s">
        <v>104</v>
      </c>
      <c r="C2" s="178"/>
      <c r="D2" s="178"/>
      <c r="E2" s="178"/>
      <c r="F2" s="178"/>
      <c r="G2" s="178"/>
      <c r="H2" s="178"/>
      <c r="I2" s="178"/>
      <c r="J2" s="178"/>
      <c r="K2" s="178"/>
      <c r="L2" s="178"/>
      <c r="M2" s="178"/>
      <c r="N2" s="178"/>
      <c r="O2" s="178"/>
      <c r="P2" s="179"/>
      <c r="Q2" s="180"/>
    </row>
    <row r="3" spans="1:17" ht="35" customHeight="1" thickBot="1" x14ac:dyDescent="0.25">
      <c r="A3" s="152"/>
      <c r="B3" s="182" t="s">
        <v>248</v>
      </c>
      <c r="C3" s="182"/>
      <c r="D3" s="182"/>
      <c r="E3" s="182"/>
      <c r="F3" s="182"/>
      <c r="G3" s="182"/>
      <c r="H3" s="182"/>
      <c r="I3" s="182"/>
      <c r="J3" s="182"/>
      <c r="K3" s="182"/>
      <c r="L3" s="182"/>
      <c r="M3" s="182"/>
      <c r="N3" s="182"/>
      <c r="O3" s="182"/>
      <c r="P3" s="182"/>
      <c r="Q3" s="180"/>
    </row>
    <row r="4" spans="1:17" ht="35" customHeight="1" thickBot="1" x14ac:dyDescent="0.25">
      <c r="A4" s="152"/>
      <c r="B4" s="183" t="s">
        <v>121</v>
      </c>
      <c r="C4" s="184"/>
      <c r="D4" s="184"/>
      <c r="E4" s="184"/>
      <c r="F4" s="184"/>
      <c r="G4" s="184"/>
      <c r="H4" s="184"/>
      <c r="I4" s="184"/>
      <c r="J4" s="184"/>
      <c r="K4" s="184"/>
      <c r="L4" s="184"/>
      <c r="M4" s="184"/>
      <c r="N4" s="184"/>
      <c r="O4" s="184"/>
      <c r="P4" s="185"/>
      <c r="Q4" s="180"/>
    </row>
    <row r="5" spans="1:17" ht="35" customHeight="1" thickBot="1" x14ac:dyDescent="0.25">
      <c r="A5" s="152"/>
      <c r="B5" s="186" t="s">
        <v>249</v>
      </c>
      <c r="C5" s="186"/>
      <c r="D5" s="186"/>
      <c r="E5" s="186"/>
      <c r="F5" s="186"/>
      <c r="G5" s="186"/>
      <c r="H5" s="186"/>
      <c r="I5" s="186"/>
      <c r="J5" s="186"/>
      <c r="K5" s="186"/>
      <c r="L5" s="186"/>
      <c r="M5" s="186"/>
      <c r="N5" s="186"/>
      <c r="O5" s="186"/>
      <c r="P5" s="186"/>
      <c r="Q5" s="180"/>
    </row>
    <row r="6" spans="1:17" ht="25" customHeight="1" thickBot="1" x14ac:dyDescent="0.25">
      <c r="A6" s="152"/>
      <c r="B6" s="187" t="s">
        <v>23</v>
      </c>
      <c r="C6" s="188"/>
      <c r="D6" s="188"/>
      <c r="E6" s="188"/>
      <c r="F6" s="188"/>
      <c r="G6" s="188"/>
      <c r="H6" s="188"/>
      <c r="I6" s="188"/>
      <c r="J6" s="188"/>
      <c r="K6" s="188"/>
      <c r="L6" s="188"/>
      <c r="M6" s="188"/>
      <c r="N6" s="188"/>
      <c r="O6" s="188"/>
      <c r="P6" s="189"/>
      <c r="Q6" s="180"/>
    </row>
    <row r="7" spans="1:17" ht="10" customHeight="1" thickBot="1" x14ac:dyDescent="0.25">
      <c r="A7" s="151"/>
      <c r="B7" s="190"/>
      <c r="C7" s="190"/>
      <c r="D7" s="190"/>
      <c r="E7" s="190"/>
      <c r="F7" s="190"/>
      <c r="G7" s="190"/>
      <c r="H7" s="190"/>
      <c r="I7" s="190"/>
      <c r="J7" s="190"/>
      <c r="K7" s="190"/>
      <c r="L7" s="190"/>
      <c r="M7" s="190"/>
      <c r="N7" s="190"/>
      <c r="O7" s="190"/>
      <c r="P7" s="190"/>
      <c r="Q7" s="181"/>
    </row>
    <row r="8" spans="1:17" ht="5" customHeight="1" thickBot="1" x14ac:dyDescent="0.25">
      <c r="A8" s="127"/>
      <c r="B8" s="128"/>
      <c r="C8" s="128"/>
      <c r="D8" s="128"/>
      <c r="E8" s="128"/>
      <c r="F8" s="128"/>
      <c r="G8" s="128"/>
      <c r="H8" s="128"/>
      <c r="I8" s="128"/>
      <c r="J8" s="128"/>
      <c r="K8" s="128"/>
      <c r="L8" s="128"/>
      <c r="M8" s="128"/>
      <c r="N8" s="128"/>
      <c r="O8" s="128"/>
      <c r="P8" s="128"/>
      <c r="Q8" s="2"/>
    </row>
    <row r="9" spans="1:17" ht="10" customHeight="1" thickBot="1" x14ac:dyDescent="0.25">
      <c r="A9" s="162"/>
      <c r="B9" s="163"/>
      <c r="C9" s="163"/>
      <c r="D9" s="163"/>
      <c r="E9" s="163"/>
      <c r="F9" s="163"/>
      <c r="G9" s="163"/>
      <c r="H9" s="163"/>
      <c r="I9" s="163"/>
      <c r="J9" s="163"/>
      <c r="K9" s="163"/>
      <c r="L9" s="163"/>
      <c r="M9" s="163"/>
      <c r="N9" s="163"/>
      <c r="O9" s="163"/>
      <c r="P9" s="163"/>
      <c r="Q9" s="164"/>
    </row>
    <row r="10" spans="1:17" ht="20" customHeight="1" thickBot="1" x14ac:dyDescent="0.25">
      <c r="A10" s="165"/>
      <c r="B10" s="166" t="s">
        <v>36</v>
      </c>
      <c r="C10" s="167"/>
      <c r="D10" s="167"/>
      <c r="E10" s="167"/>
      <c r="F10" s="167"/>
      <c r="G10" s="167"/>
      <c r="H10" s="167"/>
      <c r="I10" s="167"/>
      <c r="J10" s="167"/>
      <c r="K10" s="167"/>
      <c r="L10" s="167"/>
      <c r="M10" s="167"/>
      <c r="N10" s="167"/>
      <c r="O10" s="167"/>
      <c r="P10" s="168"/>
      <c r="Q10" s="169"/>
    </row>
    <row r="11" spans="1:17" ht="10" customHeight="1" thickBot="1" x14ac:dyDescent="0.25">
      <c r="A11" s="165"/>
      <c r="B11" s="170"/>
      <c r="C11" s="170"/>
      <c r="D11" s="170"/>
      <c r="E11" s="170"/>
      <c r="F11" s="170"/>
      <c r="G11" s="170"/>
      <c r="H11" s="170"/>
      <c r="I11" s="170"/>
      <c r="J11" s="170"/>
      <c r="K11" s="170"/>
      <c r="L11" s="170"/>
      <c r="M11" s="170"/>
      <c r="N11" s="170"/>
      <c r="O11" s="170"/>
      <c r="P11" s="170"/>
      <c r="Q11" s="169"/>
    </row>
    <row r="12" spans="1:17" ht="20" customHeight="1" thickBot="1" x14ac:dyDescent="0.25">
      <c r="A12" s="165"/>
      <c r="B12" s="129" t="str">
        <f>GRUPOS!C11</f>
        <v>VICTOR PUTTINI/JURANDIR JR</v>
      </c>
      <c r="C12" s="130" t="s">
        <v>17</v>
      </c>
      <c r="D12" s="131" t="s">
        <v>18</v>
      </c>
      <c r="E12" s="171"/>
      <c r="F12" s="129" t="str">
        <f>GRUPOS!C12</f>
        <v>JOÃO GUILHERME/FELIPE BAPTISTA</v>
      </c>
      <c r="G12" s="132" t="s">
        <v>17</v>
      </c>
      <c r="H12" s="133" t="s">
        <v>18</v>
      </c>
      <c r="I12" s="172" t="s">
        <v>235</v>
      </c>
      <c r="J12" s="129" t="str">
        <f>GRUPOS!C13</f>
        <v>GUI GERREIRO/THEO PEREIRA</v>
      </c>
      <c r="K12" s="130" t="s">
        <v>17</v>
      </c>
      <c r="L12" s="131" t="s">
        <v>18</v>
      </c>
      <c r="M12" s="171"/>
      <c r="N12" s="129" t="str">
        <f>GRUPOS!C14</f>
        <v>ANDRI/JOAQUIM</v>
      </c>
      <c r="O12" s="132" t="s">
        <v>17</v>
      </c>
      <c r="P12" s="133" t="s">
        <v>18</v>
      </c>
      <c r="Q12" s="169"/>
    </row>
    <row r="13" spans="1:17" ht="20" customHeight="1" x14ac:dyDescent="0.2">
      <c r="A13" s="165"/>
      <c r="B13" s="134">
        <v>1</v>
      </c>
      <c r="C13" s="59">
        <f>'TABELA MASC'!H10</f>
        <v>21</v>
      </c>
      <c r="D13" s="135">
        <f>'TABELA MASC'!J10</f>
        <v>10</v>
      </c>
      <c r="E13" s="171"/>
      <c r="F13" s="134">
        <v>1</v>
      </c>
      <c r="G13" s="59">
        <f>'TABELA MASC'!H13</f>
        <v>21</v>
      </c>
      <c r="H13" s="135">
        <f>'TABELA MASC'!J13</f>
        <v>9</v>
      </c>
      <c r="I13" s="173"/>
      <c r="J13" s="134">
        <v>1</v>
      </c>
      <c r="K13" s="59">
        <f>'TABELA MASC'!J13</f>
        <v>9</v>
      </c>
      <c r="L13" s="135">
        <f>'TABELA MASC'!H13</f>
        <v>21</v>
      </c>
      <c r="M13" s="171"/>
      <c r="N13" s="134">
        <v>1</v>
      </c>
      <c r="O13" s="136">
        <f>'TABELA MASC'!J10</f>
        <v>10</v>
      </c>
      <c r="P13" s="135">
        <f>'TABELA MASC'!H10</f>
        <v>21</v>
      </c>
      <c r="Q13" s="169"/>
    </row>
    <row r="14" spans="1:17" ht="20" customHeight="1" x14ac:dyDescent="0.2">
      <c r="A14" s="165"/>
      <c r="B14" s="137">
        <v>2</v>
      </c>
      <c r="C14" s="59">
        <f>'TABELA MASC'!H16</f>
        <v>21</v>
      </c>
      <c r="D14" s="135">
        <f>'TABELA MASC'!J16</f>
        <v>19</v>
      </c>
      <c r="E14" s="171"/>
      <c r="F14" s="137">
        <v>2</v>
      </c>
      <c r="G14" s="59">
        <f>'TABELA MASC'!H19</f>
        <v>21</v>
      </c>
      <c r="H14" s="135">
        <f>'TABELA MASC'!J19</f>
        <v>17</v>
      </c>
      <c r="I14" s="173"/>
      <c r="J14" s="137">
        <v>2</v>
      </c>
      <c r="K14" s="59">
        <f>'TABELA MASC'!J16</f>
        <v>19</v>
      </c>
      <c r="L14" s="135">
        <f>'TABELA MASC'!H16</f>
        <v>21</v>
      </c>
      <c r="M14" s="171"/>
      <c r="N14" s="137">
        <v>2</v>
      </c>
      <c r="O14" s="59">
        <f>'TABELA MASC'!J19</f>
        <v>17</v>
      </c>
      <c r="P14" s="135">
        <f>'TABELA MASC'!H19</f>
        <v>21</v>
      </c>
      <c r="Q14" s="169"/>
    </row>
    <row r="15" spans="1:17" ht="20" customHeight="1" x14ac:dyDescent="0.2">
      <c r="A15" s="165"/>
      <c r="B15" s="137">
        <v>3</v>
      </c>
      <c r="C15" s="59">
        <f>'TABELA MASC'!H22</f>
        <v>21</v>
      </c>
      <c r="D15" s="135">
        <f>'TABELA MASC'!J22</f>
        <v>15</v>
      </c>
      <c r="E15" s="171"/>
      <c r="F15" s="137">
        <v>3</v>
      </c>
      <c r="G15" s="59">
        <f>'TABELA MASC'!J22</f>
        <v>15</v>
      </c>
      <c r="H15" s="135">
        <f>'TABELA MASC'!H22</f>
        <v>21</v>
      </c>
      <c r="I15" s="173"/>
      <c r="J15" s="137">
        <v>3</v>
      </c>
      <c r="K15" s="59">
        <f>'TABELA MASC'!H25</f>
        <v>18</v>
      </c>
      <c r="L15" s="135">
        <f>'TABELA MASC'!J25</f>
        <v>21</v>
      </c>
      <c r="M15" s="171"/>
      <c r="N15" s="138">
        <v>3</v>
      </c>
      <c r="O15" s="59">
        <f>'TABELA MASC'!J25</f>
        <v>21</v>
      </c>
      <c r="P15" s="139">
        <f>'TABELA MASC'!H25</f>
        <v>18</v>
      </c>
      <c r="Q15" s="169"/>
    </row>
    <row r="16" spans="1:17" ht="20" customHeight="1" x14ac:dyDescent="0.2">
      <c r="A16" s="165"/>
      <c r="B16" s="138" t="s">
        <v>0</v>
      </c>
      <c r="C16" s="136">
        <f>SUM(C13:C15)</f>
        <v>63</v>
      </c>
      <c r="D16" s="139">
        <f>SUM(D13:D15)</f>
        <v>44</v>
      </c>
      <c r="E16" s="171"/>
      <c r="F16" s="138" t="s">
        <v>0</v>
      </c>
      <c r="G16" s="136">
        <f>SUM(G13:G15)</f>
        <v>57</v>
      </c>
      <c r="H16" s="139">
        <f>SUM(H13:H15)</f>
        <v>47</v>
      </c>
      <c r="I16" s="173"/>
      <c r="J16" s="138" t="s">
        <v>0</v>
      </c>
      <c r="K16" s="136">
        <f>SUM(K13:K15)</f>
        <v>46</v>
      </c>
      <c r="L16" s="139">
        <f>SUM(L13:L15)</f>
        <v>63</v>
      </c>
      <c r="M16" s="171"/>
      <c r="N16" s="138" t="s">
        <v>0</v>
      </c>
      <c r="O16" s="136">
        <f>SUM(O13:O15)</f>
        <v>48</v>
      </c>
      <c r="P16" s="139">
        <f>SUM(P13:P15)</f>
        <v>60</v>
      </c>
      <c r="Q16" s="169"/>
    </row>
    <row r="17" spans="1:17" ht="20" customHeight="1" thickBot="1" x14ac:dyDescent="0.25">
      <c r="A17" s="165"/>
      <c r="B17" s="140" t="s">
        <v>20</v>
      </c>
      <c r="C17" s="141">
        <v>2</v>
      </c>
      <c r="D17" s="142">
        <f>C16/D16</f>
        <v>1.4318181818181819</v>
      </c>
      <c r="E17" s="171"/>
      <c r="F17" s="140" t="s">
        <v>20</v>
      </c>
      <c r="G17" s="141">
        <v>1</v>
      </c>
      <c r="H17" s="142">
        <f>G16/H16</f>
        <v>1.2127659574468086</v>
      </c>
      <c r="I17" s="173"/>
      <c r="J17" s="140" t="s">
        <v>20</v>
      </c>
      <c r="K17" s="141"/>
      <c r="L17" s="142">
        <f>K16/L16</f>
        <v>0.73015873015873012</v>
      </c>
      <c r="M17" s="171"/>
      <c r="N17" s="140" t="s">
        <v>20</v>
      </c>
      <c r="O17" s="141">
        <v>3</v>
      </c>
      <c r="P17" s="142">
        <f>O16/P16</f>
        <v>0.8</v>
      </c>
      <c r="Q17" s="169"/>
    </row>
    <row r="18" spans="1:17" ht="10" customHeight="1" thickBot="1" x14ac:dyDescent="0.25">
      <c r="A18" s="191"/>
      <c r="B18" s="192"/>
      <c r="C18" s="192"/>
      <c r="D18" s="192"/>
      <c r="E18" s="192"/>
      <c r="F18" s="192"/>
      <c r="G18" s="192"/>
      <c r="H18" s="192"/>
      <c r="I18" s="192"/>
      <c r="J18" s="192"/>
      <c r="K18" s="192"/>
      <c r="L18" s="192"/>
      <c r="M18" s="192"/>
      <c r="N18" s="192"/>
      <c r="O18" s="192"/>
      <c r="P18" s="192"/>
      <c r="Q18" s="193"/>
    </row>
    <row r="19" spans="1:17" ht="5" customHeight="1" thickBot="1" x14ac:dyDescent="0.25">
      <c r="A19" s="127"/>
      <c r="B19" s="128"/>
      <c r="C19" s="128"/>
      <c r="D19" s="128"/>
      <c r="E19" s="128"/>
      <c r="F19" s="128"/>
      <c r="G19" s="128"/>
      <c r="H19" s="128"/>
      <c r="I19" s="128"/>
      <c r="J19" s="128"/>
      <c r="K19" s="128"/>
      <c r="L19" s="128"/>
      <c r="M19" s="128"/>
      <c r="N19" s="128"/>
      <c r="O19" s="128"/>
      <c r="P19" s="128"/>
      <c r="Q19" s="2"/>
    </row>
    <row r="20" spans="1:17" ht="10" customHeight="1" thickBot="1" x14ac:dyDescent="0.25">
      <c r="A20" s="162"/>
      <c r="B20" s="163"/>
      <c r="C20" s="163"/>
      <c r="D20" s="163"/>
      <c r="E20" s="163"/>
      <c r="F20" s="163"/>
      <c r="G20" s="163"/>
      <c r="H20" s="163"/>
      <c r="I20" s="163"/>
      <c r="J20" s="163"/>
      <c r="K20" s="163"/>
      <c r="L20" s="163"/>
      <c r="M20" s="163"/>
      <c r="N20" s="163"/>
      <c r="O20" s="163"/>
      <c r="P20" s="163"/>
      <c r="Q20" s="164"/>
    </row>
    <row r="21" spans="1:17" ht="20" customHeight="1" thickBot="1" x14ac:dyDescent="0.25">
      <c r="A21" s="165"/>
      <c r="B21" s="194" t="s">
        <v>37</v>
      </c>
      <c r="C21" s="195"/>
      <c r="D21" s="195"/>
      <c r="E21" s="195"/>
      <c r="F21" s="195"/>
      <c r="G21" s="195"/>
      <c r="H21" s="195"/>
      <c r="I21" s="195"/>
      <c r="J21" s="195"/>
      <c r="K21" s="195"/>
      <c r="L21" s="195"/>
      <c r="M21" s="195"/>
      <c r="N21" s="195"/>
      <c r="O21" s="195"/>
      <c r="P21" s="196"/>
      <c r="Q21" s="169"/>
    </row>
    <row r="22" spans="1:17" ht="10" customHeight="1" thickBot="1" x14ac:dyDescent="0.25">
      <c r="A22" s="165"/>
      <c r="B22" s="170"/>
      <c r="C22" s="170"/>
      <c r="D22" s="170"/>
      <c r="E22" s="170"/>
      <c r="F22" s="170"/>
      <c r="G22" s="170"/>
      <c r="H22" s="170"/>
      <c r="I22" s="170"/>
      <c r="J22" s="170"/>
      <c r="K22" s="170"/>
      <c r="L22" s="170"/>
      <c r="M22" s="170"/>
      <c r="N22" s="170"/>
      <c r="O22" s="170"/>
      <c r="P22" s="170"/>
      <c r="Q22" s="169"/>
    </row>
    <row r="23" spans="1:17" ht="20" customHeight="1" thickBot="1" x14ac:dyDescent="0.25">
      <c r="A23" s="165"/>
      <c r="B23" s="129" t="str">
        <f>GRUPOS!G11</f>
        <v>FELIPE COSTA/RAPHAEL BESSA</v>
      </c>
      <c r="C23" s="130" t="s">
        <v>17</v>
      </c>
      <c r="D23" s="131" t="s">
        <v>18</v>
      </c>
      <c r="E23" s="171"/>
      <c r="F23" s="129" t="str">
        <f>GRUPOS!G12</f>
        <v>THIAGO FELIPE/MURILO ALVES</v>
      </c>
      <c r="G23" s="132" t="s">
        <v>17</v>
      </c>
      <c r="H23" s="133" t="s">
        <v>18</v>
      </c>
      <c r="I23" s="173"/>
      <c r="J23" s="129" t="str">
        <f>GRUPOS!G13</f>
        <v>LUCAS MENDES/FELIPE ROSSI</v>
      </c>
      <c r="K23" s="130" t="s">
        <v>17</v>
      </c>
      <c r="L23" s="131" t="s">
        <v>18</v>
      </c>
      <c r="M23" s="171"/>
      <c r="N23" s="129" t="str">
        <f>GRUPOS!G14</f>
        <v>VINÍCIUS ALMEIDA/GUI RODRIGUES</v>
      </c>
      <c r="O23" s="132" t="s">
        <v>17</v>
      </c>
      <c r="P23" s="133" t="s">
        <v>18</v>
      </c>
      <c r="Q23" s="169"/>
    </row>
    <row r="24" spans="1:17" ht="20" customHeight="1" x14ac:dyDescent="0.2">
      <c r="A24" s="165"/>
      <c r="B24" s="134">
        <v>1</v>
      </c>
      <c r="C24" s="59">
        <f>'TABELA MASC'!H11</f>
        <v>21</v>
      </c>
      <c r="D24" s="135">
        <f>'TABELA MASC'!J11</f>
        <v>15</v>
      </c>
      <c r="E24" s="171"/>
      <c r="F24" s="134">
        <v>1</v>
      </c>
      <c r="G24" s="59">
        <f>'TABELA MASC'!H14</f>
        <v>15</v>
      </c>
      <c r="H24" s="135">
        <f>'TABELA MASC'!J14</f>
        <v>21</v>
      </c>
      <c r="I24" s="173"/>
      <c r="J24" s="134">
        <v>1</v>
      </c>
      <c r="K24" s="59">
        <f>'TABELA MASC'!J14</f>
        <v>21</v>
      </c>
      <c r="L24" s="135">
        <f>'TABELA MASC'!H14</f>
        <v>15</v>
      </c>
      <c r="M24" s="171"/>
      <c r="N24" s="134">
        <v>1</v>
      </c>
      <c r="O24" s="59">
        <f>'TABELA MASC'!J11</f>
        <v>15</v>
      </c>
      <c r="P24" s="135">
        <f>'TABELA MASC'!H11</f>
        <v>21</v>
      </c>
      <c r="Q24" s="169"/>
    </row>
    <row r="25" spans="1:17" ht="20" customHeight="1" x14ac:dyDescent="0.2">
      <c r="A25" s="165"/>
      <c r="B25" s="137">
        <v>2</v>
      </c>
      <c r="C25" s="59">
        <f>'TABELA MASC'!H17</f>
        <v>18</v>
      </c>
      <c r="D25" s="135">
        <f>'TABELA MASC'!J17</f>
        <v>21</v>
      </c>
      <c r="E25" s="171"/>
      <c r="F25" s="137">
        <v>2</v>
      </c>
      <c r="G25" s="59">
        <f>'TABELA MASC'!H20</f>
        <v>12</v>
      </c>
      <c r="H25" s="135">
        <f>'TABELA MASC'!J20</f>
        <v>21</v>
      </c>
      <c r="I25" s="173"/>
      <c r="J25" s="137">
        <v>2</v>
      </c>
      <c r="K25" s="59">
        <f>'TABELA MASC'!J17</f>
        <v>21</v>
      </c>
      <c r="L25" s="135">
        <f>'TABELA MASC'!H17</f>
        <v>18</v>
      </c>
      <c r="M25" s="171"/>
      <c r="N25" s="137">
        <v>2</v>
      </c>
      <c r="O25" s="59">
        <f>'TABELA MASC'!J20</f>
        <v>21</v>
      </c>
      <c r="P25" s="135">
        <f>'TABELA MASC'!H20</f>
        <v>12</v>
      </c>
      <c r="Q25" s="169"/>
    </row>
    <row r="26" spans="1:17" ht="20" customHeight="1" x14ac:dyDescent="0.2">
      <c r="A26" s="165"/>
      <c r="B26" s="138">
        <v>3</v>
      </c>
      <c r="C26" s="59">
        <f>'TABELA MASC'!H23</f>
        <v>12</v>
      </c>
      <c r="D26" s="139">
        <f>'TABELA MASC'!J23</f>
        <v>21</v>
      </c>
      <c r="E26" s="171"/>
      <c r="F26" s="138">
        <v>3</v>
      </c>
      <c r="G26" s="59">
        <f>'TABELA MASC'!J23</f>
        <v>21</v>
      </c>
      <c r="H26" s="135">
        <f>'TABELA MASC'!H23</f>
        <v>12</v>
      </c>
      <c r="I26" s="173"/>
      <c r="J26" s="138">
        <v>3</v>
      </c>
      <c r="K26" s="59">
        <f>'TABELA MASC'!H26</f>
        <v>12</v>
      </c>
      <c r="L26" s="135">
        <f>'TABELA MASC'!J26</f>
        <v>21</v>
      </c>
      <c r="M26" s="171"/>
      <c r="N26" s="138">
        <v>3</v>
      </c>
      <c r="O26" s="59">
        <f>'TABELA MASC'!J26</f>
        <v>21</v>
      </c>
      <c r="P26" s="135">
        <f>'TABELA MASC'!H26</f>
        <v>12</v>
      </c>
      <c r="Q26" s="169"/>
    </row>
    <row r="27" spans="1:17" ht="20" customHeight="1" x14ac:dyDescent="0.2">
      <c r="A27" s="165"/>
      <c r="B27" s="138" t="s">
        <v>0</v>
      </c>
      <c r="C27" s="136">
        <f>SUM(C24:C26)</f>
        <v>51</v>
      </c>
      <c r="D27" s="139">
        <f>SUM(D24:D26)</f>
        <v>57</v>
      </c>
      <c r="E27" s="171"/>
      <c r="F27" s="138" t="s">
        <v>0</v>
      </c>
      <c r="G27" s="136">
        <f>SUM(G24:G26)</f>
        <v>48</v>
      </c>
      <c r="H27" s="139">
        <f>SUM(H24:H26)</f>
        <v>54</v>
      </c>
      <c r="I27" s="173"/>
      <c r="J27" s="138" t="s">
        <v>0</v>
      </c>
      <c r="K27" s="136">
        <f>SUM(K24:K26)</f>
        <v>54</v>
      </c>
      <c r="L27" s="139">
        <f>SUM(L24:L26)</f>
        <v>54</v>
      </c>
      <c r="M27" s="171"/>
      <c r="N27" s="138" t="s">
        <v>0</v>
      </c>
      <c r="O27" s="136">
        <f>SUM(O24:O26)</f>
        <v>57</v>
      </c>
      <c r="P27" s="139">
        <f>SUM(P24:P26)</f>
        <v>45</v>
      </c>
      <c r="Q27" s="169"/>
    </row>
    <row r="28" spans="1:17" ht="20" customHeight="1" thickBot="1" x14ac:dyDescent="0.25">
      <c r="A28" s="165"/>
      <c r="B28" s="140" t="s">
        <v>20</v>
      </c>
      <c r="C28" s="141"/>
      <c r="D28" s="143">
        <f>C27/D27</f>
        <v>0.89473684210526316</v>
      </c>
      <c r="E28" s="171"/>
      <c r="F28" s="140" t="s">
        <v>20</v>
      </c>
      <c r="G28" s="141"/>
      <c r="H28" s="143">
        <f>G27/H27</f>
        <v>0.88888888888888884</v>
      </c>
      <c r="I28" s="173"/>
      <c r="J28" s="140" t="s">
        <v>20</v>
      </c>
      <c r="K28" s="141"/>
      <c r="L28" s="143">
        <f>K27/L27</f>
        <v>1</v>
      </c>
      <c r="M28" s="171"/>
      <c r="N28" s="140" t="s">
        <v>20</v>
      </c>
      <c r="O28" s="141"/>
      <c r="P28" s="143">
        <f>O27/P27</f>
        <v>1.2666666666666666</v>
      </c>
      <c r="Q28" s="169"/>
    </row>
    <row r="29" spans="1:17" ht="10" customHeight="1" thickBot="1" x14ac:dyDescent="0.25">
      <c r="A29" s="191"/>
      <c r="B29" s="192"/>
      <c r="C29" s="192"/>
      <c r="D29" s="192"/>
      <c r="E29" s="192"/>
      <c r="F29" s="192"/>
      <c r="G29" s="192"/>
      <c r="H29" s="192"/>
      <c r="I29" s="192"/>
      <c r="J29" s="192"/>
      <c r="K29" s="192"/>
      <c r="L29" s="192"/>
      <c r="M29" s="192"/>
      <c r="N29" s="192"/>
      <c r="O29" s="192"/>
      <c r="P29" s="192"/>
      <c r="Q29" s="193"/>
    </row>
    <row r="30" spans="1:17" ht="5" customHeight="1" thickBot="1" x14ac:dyDescent="0.25">
      <c r="A30" s="127"/>
      <c r="B30" s="128"/>
      <c r="C30" s="128"/>
      <c r="D30" s="128"/>
      <c r="E30" s="128"/>
      <c r="F30" s="128"/>
      <c r="G30" s="128"/>
      <c r="H30" s="128"/>
      <c r="I30" s="128"/>
      <c r="J30" s="128"/>
      <c r="K30" s="128"/>
      <c r="L30" s="128"/>
      <c r="M30" s="128"/>
      <c r="N30" s="128"/>
      <c r="O30" s="128"/>
      <c r="P30" s="128"/>
      <c r="Q30" s="2"/>
    </row>
    <row r="31" spans="1:17" ht="10" customHeight="1" thickBot="1" x14ac:dyDescent="0.25">
      <c r="A31" s="162"/>
      <c r="B31" s="163"/>
      <c r="C31" s="163"/>
      <c r="D31" s="163"/>
      <c r="E31" s="163"/>
      <c r="F31" s="163"/>
      <c r="G31" s="163"/>
      <c r="H31" s="163"/>
      <c r="I31" s="163"/>
      <c r="J31" s="163"/>
      <c r="K31" s="163"/>
      <c r="L31" s="163"/>
      <c r="M31" s="163"/>
      <c r="N31" s="163"/>
      <c r="O31" s="163"/>
      <c r="P31" s="163"/>
      <c r="Q31" s="164"/>
    </row>
    <row r="32" spans="1:17" ht="20" customHeight="1" thickBot="1" x14ac:dyDescent="0.25">
      <c r="A32" s="165"/>
      <c r="B32" s="197" t="s">
        <v>75</v>
      </c>
      <c r="C32" s="198"/>
      <c r="D32" s="198"/>
      <c r="E32" s="198"/>
      <c r="F32" s="198"/>
      <c r="G32" s="198"/>
      <c r="H32" s="198"/>
      <c r="I32" s="198"/>
      <c r="J32" s="198"/>
      <c r="K32" s="198"/>
      <c r="L32" s="198"/>
      <c r="M32" s="198"/>
      <c r="N32" s="198"/>
      <c r="O32" s="198"/>
      <c r="P32" s="199"/>
      <c r="Q32" s="169"/>
    </row>
    <row r="33" spans="1:17" ht="10" customHeight="1" thickBot="1" x14ac:dyDescent="0.25">
      <c r="A33" s="165"/>
      <c r="B33" s="200"/>
      <c r="C33" s="200"/>
      <c r="D33" s="200"/>
      <c r="E33" s="200"/>
      <c r="F33" s="200"/>
      <c r="G33" s="200"/>
      <c r="H33" s="200"/>
      <c r="I33" s="200"/>
      <c r="J33" s="200"/>
      <c r="K33" s="200"/>
      <c r="L33" s="200"/>
      <c r="M33" s="200"/>
      <c r="N33" s="200"/>
      <c r="O33" s="200"/>
      <c r="P33" s="200"/>
      <c r="Q33" s="169"/>
    </row>
    <row r="34" spans="1:17" ht="20" customHeight="1" thickBot="1" x14ac:dyDescent="0.25">
      <c r="A34" s="165"/>
      <c r="B34" s="129" t="str">
        <f>GRUPOS!K11</f>
        <v>MATEUS LIRA/AUGUSTO</v>
      </c>
      <c r="C34" s="130" t="s">
        <v>17</v>
      </c>
      <c r="D34" s="131" t="s">
        <v>18</v>
      </c>
      <c r="E34" s="171"/>
      <c r="F34" s="129" t="str">
        <f>GRUPOS!K12</f>
        <v>CAIO MARLEY/VAVO GUERREIRO</v>
      </c>
      <c r="G34" s="132" t="s">
        <v>17</v>
      </c>
      <c r="H34" s="133" t="s">
        <v>18</v>
      </c>
      <c r="I34" s="173"/>
      <c r="J34" s="129" t="str">
        <f>GRUPOS!K13</f>
        <v>ENZO ALEXANDRE/ARTHUR AURÉLIO</v>
      </c>
      <c r="K34" s="130" t="s">
        <v>17</v>
      </c>
      <c r="L34" s="131" t="s">
        <v>18</v>
      </c>
      <c r="M34" s="171"/>
      <c r="N34" s="129" t="str">
        <f>GRUPOS!K14</f>
        <v>LEONARDO/MARCUS VINÍCIUS</v>
      </c>
      <c r="O34" s="132" t="s">
        <v>17</v>
      </c>
      <c r="P34" s="133" t="s">
        <v>18</v>
      </c>
      <c r="Q34" s="169"/>
    </row>
    <row r="35" spans="1:17" ht="20" customHeight="1" x14ac:dyDescent="0.2">
      <c r="A35" s="165"/>
      <c r="B35" s="134">
        <v>1</v>
      </c>
      <c r="C35" s="59">
        <f>'TABELA MASC'!H12</f>
        <v>14</v>
      </c>
      <c r="D35" s="135">
        <f>'TABELA MASC'!J12</f>
        <v>21</v>
      </c>
      <c r="E35" s="171"/>
      <c r="F35" s="134">
        <v>1</v>
      </c>
      <c r="G35" s="59">
        <f>'TABELA MASC'!H15</f>
        <v>8</v>
      </c>
      <c r="H35" s="139">
        <f>'TABELA MASC'!J15</f>
        <v>21</v>
      </c>
      <c r="I35" s="173"/>
      <c r="J35" s="134">
        <v>1</v>
      </c>
      <c r="K35" s="59">
        <f>'TABELA MASC'!J15</f>
        <v>21</v>
      </c>
      <c r="L35" s="135">
        <f>'TABELA MASC'!H15</f>
        <v>8</v>
      </c>
      <c r="M35" s="171"/>
      <c r="N35" s="134">
        <v>1</v>
      </c>
      <c r="O35" s="59">
        <f>'TABELA MASC'!J12</f>
        <v>21</v>
      </c>
      <c r="P35" s="135">
        <f>'TABELA MASC'!H12</f>
        <v>14</v>
      </c>
      <c r="Q35" s="169"/>
    </row>
    <row r="36" spans="1:17" ht="20" customHeight="1" x14ac:dyDescent="0.2">
      <c r="A36" s="165"/>
      <c r="B36" s="137">
        <v>2</v>
      </c>
      <c r="C36" s="59">
        <f>'TABELA MASC'!H18</f>
        <v>21</v>
      </c>
      <c r="D36" s="135">
        <f>'TABELA MASC'!J18</f>
        <v>18</v>
      </c>
      <c r="E36" s="171"/>
      <c r="F36" s="137">
        <v>2</v>
      </c>
      <c r="G36" s="59">
        <f>'TABELA MASC'!H21</f>
        <v>21</v>
      </c>
      <c r="H36" s="139">
        <f>'TABELA MASC'!J21</f>
        <v>15</v>
      </c>
      <c r="I36" s="173"/>
      <c r="J36" s="137">
        <v>2</v>
      </c>
      <c r="K36" s="59">
        <f>'TABELA MASC'!J18</f>
        <v>18</v>
      </c>
      <c r="L36" s="135">
        <f>'TABELA MASC'!H18</f>
        <v>21</v>
      </c>
      <c r="M36" s="171"/>
      <c r="N36" s="137">
        <v>2</v>
      </c>
      <c r="O36" s="59">
        <f>'TABELA MASC'!J21</f>
        <v>15</v>
      </c>
      <c r="P36" s="135">
        <f>'TABELA MASC'!H21</f>
        <v>21</v>
      </c>
      <c r="Q36" s="169"/>
    </row>
    <row r="37" spans="1:17" ht="20" customHeight="1" x14ac:dyDescent="0.2">
      <c r="A37" s="165"/>
      <c r="B37" s="138">
        <v>3</v>
      </c>
      <c r="C37" s="59">
        <f>'TABELA MASC'!H24</f>
        <v>18</v>
      </c>
      <c r="D37" s="139">
        <f>'TABELA MASC'!J24</f>
        <v>21</v>
      </c>
      <c r="E37" s="171"/>
      <c r="F37" s="138">
        <v>3</v>
      </c>
      <c r="G37" s="59">
        <f>'TABELA MASC'!J24</f>
        <v>21</v>
      </c>
      <c r="H37" s="139">
        <f>'TABELA MASC'!H24</f>
        <v>18</v>
      </c>
      <c r="I37" s="173"/>
      <c r="J37" s="138">
        <v>3</v>
      </c>
      <c r="K37" s="59">
        <f>'TABELA MASC'!H27</f>
        <v>18</v>
      </c>
      <c r="L37" s="135">
        <f>'TABELA MASC'!J27</f>
        <v>21</v>
      </c>
      <c r="M37" s="171"/>
      <c r="N37" s="138">
        <v>3</v>
      </c>
      <c r="O37" s="59">
        <f>'TABELA MASC'!J27</f>
        <v>21</v>
      </c>
      <c r="P37" s="135">
        <f>'TABELA MASC'!H27</f>
        <v>18</v>
      </c>
      <c r="Q37" s="169"/>
    </row>
    <row r="38" spans="1:17" ht="20" customHeight="1" x14ac:dyDescent="0.2">
      <c r="A38" s="165"/>
      <c r="B38" s="138" t="s">
        <v>0</v>
      </c>
      <c r="C38" s="136">
        <f>SUM(C35:C37)</f>
        <v>53</v>
      </c>
      <c r="D38" s="139">
        <f>SUM(D35:D37)</f>
        <v>60</v>
      </c>
      <c r="E38" s="171"/>
      <c r="F38" s="138" t="s">
        <v>0</v>
      </c>
      <c r="G38" s="136">
        <f>SUM(G35:G37)</f>
        <v>50</v>
      </c>
      <c r="H38" s="139">
        <f>SUM(H35:H37)</f>
        <v>54</v>
      </c>
      <c r="I38" s="173"/>
      <c r="J38" s="138" t="s">
        <v>0</v>
      </c>
      <c r="K38" s="136">
        <f>SUM(K35:K37)</f>
        <v>57</v>
      </c>
      <c r="L38" s="139">
        <f>SUM(L35:L37)</f>
        <v>50</v>
      </c>
      <c r="M38" s="171"/>
      <c r="N38" s="138" t="s">
        <v>0</v>
      </c>
      <c r="O38" s="59">
        <f>SUM(O35:O37)</f>
        <v>57</v>
      </c>
      <c r="P38" s="139">
        <f>SUM(P35:P37)</f>
        <v>53</v>
      </c>
      <c r="Q38" s="169"/>
    </row>
    <row r="39" spans="1:17" ht="20" customHeight="1" thickBot="1" x14ac:dyDescent="0.25">
      <c r="A39" s="165"/>
      <c r="B39" s="140" t="s">
        <v>20</v>
      </c>
      <c r="C39" s="141"/>
      <c r="D39" s="144">
        <f>C38/D38</f>
        <v>0.8833333333333333</v>
      </c>
      <c r="E39" s="171"/>
      <c r="F39" s="140" t="s">
        <v>20</v>
      </c>
      <c r="G39" s="141"/>
      <c r="H39" s="144">
        <f>G38/H38</f>
        <v>0.92592592592592593</v>
      </c>
      <c r="I39" s="173"/>
      <c r="J39" s="140" t="s">
        <v>20</v>
      </c>
      <c r="K39" s="141"/>
      <c r="L39" s="144">
        <f>K38/L38</f>
        <v>1.1399999999999999</v>
      </c>
      <c r="M39" s="171"/>
      <c r="N39" s="140" t="s">
        <v>20</v>
      </c>
      <c r="O39" s="141"/>
      <c r="P39" s="144">
        <f>O38/P38</f>
        <v>1.0754716981132075</v>
      </c>
      <c r="Q39" s="169"/>
    </row>
    <row r="40" spans="1:17" ht="10" customHeight="1" thickBot="1" x14ac:dyDescent="0.25">
      <c r="A40" s="191"/>
      <c r="B40" s="192"/>
      <c r="C40" s="192"/>
      <c r="D40" s="192"/>
      <c r="E40" s="192"/>
      <c r="F40" s="192"/>
      <c r="G40" s="192"/>
      <c r="H40" s="192"/>
      <c r="I40" s="192"/>
      <c r="J40" s="192"/>
      <c r="K40" s="192"/>
      <c r="L40" s="192"/>
      <c r="M40" s="192"/>
      <c r="N40" s="192"/>
      <c r="O40" s="192"/>
      <c r="P40" s="192"/>
      <c r="Q40" s="193"/>
    </row>
    <row r="41" spans="1:17" ht="5" customHeight="1" thickBot="1" x14ac:dyDescent="0.25">
      <c r="A41" s="127"/>
      <c r="B41" s="128"/>
      <c r="C41" s="128"/>
      <c r="D41" s="128"/>
      <c r="E41" s="128"/>
      <c r="F41" s="128"/>
      <c r="G41" s="128"/>
      <c r="H41" s="128"/>
      <c r="I41" s="128"/>
      <c r="J41" s="128"/>
      <c r="K41" s="128"/>
      <c r="L41" s="128"/>
      <c r="M41" s="128"/>
      <c r="N41" s="128"/>
      <c r="O41" s="128"/>
      <c r="P41" s="128"/>
      <c r="Q41" s="2"/>
    </row>
    <row r="42" spans="1:17" ht="10" customHeight="1" thickBot="1" x14ac:dyDescent="0.25">
      <c r="A42" s="162"/>
      <c r="B42" s="163"/>
      <c r="C42" s="163"/>
      <c r="D42" s="163"/>
      <c r="E42" s="163"/>
      <c r="F42" s="163"/>
      <c r="G42" s="163"/>
      <c r="H42" s="163"/>
      <c r="I42" s="163"/>
      <c r="J42" s="163"/>
      <c r="K42" s="163"/>
      <c r="L42" s="163"/>
      <c r="M42" s="163"/>
      <c r="N42" s="163"/>
      <c r="O42" s="163"/>
      <c r="P42" s="163"/>
      <c r="Q42" s="164"/>
    </row>
    <row r="43" spans="1:17" ht="30" customHeight="1" thickBot="1" x14ac:dyDescent="0.25">
      <c r="A43" s="201"/>
      <c r="B43" s="202" t="s">
        <v>27</v>
      </c>
      <c r="C43" s="203"/>
      <c r="D43" s="203"/>
      <c r="E43" s="203"/>
      <c r="F43" s="203"/>
      <c r="G43" s="203"/>
      <c r="H43" s="203"/>
      <c r="I43" s="203"/>
      <c r="J43" s="203"/>
      <c r="K43" s="203"/>
      <c r="L43" s="203"/>
      <c r="M43" s="203"/>
      <c r="N43" s="203"/>
      <c r="O43" s="203"/>
      <c r="P43" s="204"/>
      <c r="Q43" s="173"/>
    </row>
    <row r="44" spans="1:17" ht="30" customHeight="1" thickBot="1" x14ac:dyDescent="0.25">
      <c r="A44" s="201"/>
      <c r="B44" s="145" t="s">
        <v>28</v>
      </c>
      <c r="C44" s="205" t="s">
        <v>24</v>
      </c>
      <c r="D44" s="206"/>
      <c r="E44" s="206"/>
      <c r="F44" s="206"/>
      <c r="G44" s="206"/>
      <c r="H44" s="206"/>
      <c r="I44" s="206"/>
      <c r="J44" s="207"/>
      <c r="K44" s="205" t="s">
        <v>33</v>
      </c>
      <c r="L44" s="207"/>
      <c r="M44" s="208" t="s">
        <v>97</v>
      </c>
      <c r="N44" s="209"/>
      <c r="O44" s="210" t="s">
        <v>23</v>
      </c>
      <c r="P44" s="211"/>
      <c r="Q44" s="173"/>
    </row>
    <row r="45" spans="1:17" ht="25" customHeight="1" x14ac:dyDescent="0.2">
      <c r="A45" s="201"/>
      <c r="B45" s="146" t="s">
        <v>1</v>
      </c>
      <c r="C45" s="212"/>
      <c r="D45" s="213"/>
      <c r="E45" s="213"/>
      <c r="F45" s="213"/>
      <c r="G45" s="213"/>
      <c r="H45" s="213"/>
      <c r="I45" s="213"/>
      <c r="J45" s="214"/>
      <c r="K45" s="223"/>
      <c r="L45" s="223"/>
      <c r="M45" s="224"/>
      <c r="N45" s="224"/>
      <c r="O45" s="223"/>
      <c r="P45" s="225"/>
      <c r="Q45" s="173"/>
    </row>
    <row r="46" spans="1:17" ht="25" customHeight="1" x14ac:dyDescent="0.2">
      <c r="A46" s="201"/>
      <c r="B46" s="138" t="s">
        <v>3</v>
      </c>
      <c r="C46" s="215"/>
      <c r="D46" s="216"/>
      <c r="E46" s="216"/>
      <c r="F46" s="216"/>
      <c r="G46" s="216"/>
      <c r="H46" s="216"/>
      <c r="I46" s="216"/>
      <c r="J46" s="217"/>
      <c r="K46" s="218"/>
      <c r="L46" s="218"/>
      <c r="M46" s="219"/>
      <c r="N46" s="219"/>
      <c r="O46" s="218"/>
      <c r="P46" s="220"/>
      <c r="Q46" s="173"/>
    </row>
    <row r="47" spans="1:17" ht="25" customHeight="1" x14ac:dyDescent="0.2">
      <c r="A47" s="201"/>
      <c r="B47" s="138" t="s">
        <v>4</v>
      </c>
      <c r="C47" s="215"/>
      <c r="D47" s="216"/>
      <c r="E47" s="216"/>
      <c r="F47" s="216"/>
      <c r="G47" s="216"/>
      <c r="H47" s="216"/>
      <c r="I47" s="216"/>
      <c r="J47" s="217"/>
      <c r="K47" s="218"/>
      <c r="L47" s="218"/>
      <c r="M47" s="219"/>
      <c r="N47" s="219"/>
      <c r="O47" s="218"/>
      <c r="P47" s="220"/>
      <c r="Q47" s="173"/>
    </row>
    <row r="48" spans="1:17" ht="25" customHeight="1" x14ac:dyDescent="0.2">
      <c r="A48" s="201"/>
      <c r="B48" s="138" t="s">
        <v>2</v>
      </c>
      <c r="C48" s="215"/>
      <c r="D48" s="216"/>
      <c r="E48" s="216"/>
      <c r="F48" s="216"/>
      <c r="G48" s="216"/>
      <c r="H48" s="216"/>
      <c r="I48" s="216"/>
      <c r="J48" s="217"/>
      <c r="K48" s="218"/>
      <c r="L48" s="218"/>
      <c r="M48" s="219"/>
      <c r="N48" s="219"/>
      <c r="O48" s="221"/>
      <c r="P48" s="222"/>
      <c r="Q48" s="173"/>
    </row>
    <row r="49" spans="1:17" ht="25" customHeight="1" x14ac:dyDescent="0.2">
      <c r="A49" s="201"/>
      <c r="B49" s="138" t="s">
        <v>5</v>
      </c>
      <c r="C49" s="215"/>
      <c r="D49" s="216"/>
      <c r="E49" s="216"/>
      <c r="F49" s="216"/>
      <c r="G49" s="216"/>
      <c r="H49" s="216"/>
      <c r="I49" s="216"/>
      <c r="J49" s="217"/>
      <c r="K49" s="218"/>
      <c r="L49" s="218"/>
      <c r="M49" s="219"/>
      <c r="N49" s="219"/>
      <c r="O49" s="221"/>
      <c r="P49" s="222"/>
      <c r="Q49" s="173"/>
    </row>
    <row r="50" spans="1:17" ht="25" customHeight="1" x14ac:dyDescent="0.2">
      <c r="A50" s="201"/>
      <c r="B50" s="138" t="s">
        <v>6</v>
      </c>
      <c r="C50" s="215"/>
      <c r="D50" s="216"/>
      <c r="E50" s="216"/>
      <c r="F50" s="216"/>
      <c r="G50" s="216"/>
      <c r="H50" s="216"/>
      <c r="I50" s="216"/>
      <c r="J50" s="217"/>
      <c r="K50" s="218"/>
      <c r="L50" s="218"/>
      <c r="M50" s="219"/>
      <c r="N50" s="219"/>
      <c r="O50" s="221"/>
      <c r="P50" s="222"/>
      <c r="Q50" s="173"/>
    </row>
    <row r="51" spans="1:17" ht="25" customHeight="1" x14ac:dyDescent="0.2">
      <c r="A51" s="201"/>
      <c r="B51" s="138" t="s">
        <v>7</v>
      </c>
      <c r="C51" s="215"/>
      <c r="D51" s="216"/>
      <c r="E51" s="216"/>
      <c r="F51" s="216"/>
      <c r="G51" s="216"/>
      <c r="H51" s="216"/>
      <c r="I51" s="216"/>
      <c r="J51" s="217"/>
      <c r="K51" s="218"/>
      <c r="L51" s="218"/>
      <c r="M51" s="219"/>
      <c r="N51" s="219"/>
      <c r="O51" s="221"/>
      <c r="P51" s="222"/>
      <c r="Q51" s="173"/>
    </row>
    <row r="52" spans="1:17" ht="25" customHeight="1" thickBot="1" x14ac:dyDescent="0.25">
      <c r="A52" s="201"/>
      <c r="B52" s="140" t="s">
        <v>8</v>
      </c>
      <c r="C52" s="226"/>
      <c r="D52" s="227"/>
      <c r="E52" s="227"/>
      <c r="F52" s="227"/>
      <c r="G52" s="227"/>
      <c r="H52" s="227"/>
      <c r="I52" s="227"/>
      <c r="J52" s="228"/>
      <c r="K52" s="229"/>
      <c r="L52" s="229"/>
      <c r="M52" s="230"/>
      <c r="N52" s="230"/>
      <c r="O52" s="229"/>
      <c r="P52" s="231"/>
      <c r="Q52" s="173"/>
    </row>
    <row r="53" spans="1:17" ht="10" customHeight="1" thickBot="1" x14ac:dyDescent="0.25">
      <c r="A53" s="191"/>
      <c r="B53" s="192"/>
      <c r="C53" s="192"/>
      <c r="D53" s="192"/>
      <c r="E53" s="192"/>
      <c r="F53" s="192"/>
      <c r="G53" s="192"/>
      <c r="H53" s="192"/>
      <c r="I53" s="192"/>
      <c r="J53" s="192"/>
      <c r="K53" s="192"/>
      <c r="L53" s="192"/>
      <c r="M53" s="192"/>
      <c r="N53" s="192"/>
      <c r="O53" s="192"/>
      <c r="P53" s="192"/>
      <c r="Q53" s="193"/>
    </row>
    <row r="54" spans="1:17" ht="25" customHeight="1" thickBot="1" x14ac:dyDescent="0.25"/>
    <row r="55" spans="1:17" ht="25" customHeight="1" thickBot="1" x14ac:dyDescent="0.25">
      <c r="F55" s="232" t="s">
        <v>232</v>
      </c>
      <c r="G55" s="233"/>
      <c r="H55" s="234"/>
      <c r="I55" s="241" t="s">
        <v>24</v>
      </c>
      <c r="J55" s="242"/>
      <c r="K55" s="206" t="s">
        <v>33</v>
      </c>
      <c r="L55" s="207"/>
      <c r="M55" s="208" t="s">
        <v>97</v>
      </c>
      <c r="N55" s="209"/>
      <c r="O55" s="210" t="s">
        <v>23</v>
      </c>
      <c r="P55" s="211"/>
    </row>
    <row r="56" spans="1:17" ht="25" customHeight="1" x14ac:dyDescent="0.2">
      <c r="F56" s="235"/>
      <c r="G56" s="236"/>
      <c r="H56" s="237"/>
      <c r="I56" s="243"/>
      <c r="J56" s="244"/>
      <c r="K56" s="245"/>
      <c r="L56" s="223"/>
      <c r="M56" s="224"/>
      <c r="N56" s="224"/>
      <c r="O56" s="223"/>
      <c r="P56" s="225"/>
    </row>
    <row r="57" spans="1:17" ht="25" customHeight="1" x14ac:dyDescent="0.2">
      <c r="F57" s="235"/>
      <c r="G57" s="236"/>
      <c r="H57" s="237"/>
      <c r="I57" s="246"/>
      <c r="J57" s="247"/>
      <c r="K57" s="248"/>
      <c r="L57" s="218"/>
      <c r="M57" s="219"/>
      <c r="N57" s="219"/>
      <c r="O57" s="218"/>
      <c r="P57" s="220"/>
    </row>
    <row r="58" spans="1:17" ht="25" customHeight="1" x14ac:dyDescent="0.2">
      <c r="F58" s="235"/>
      <c r="G58" s="236"/>
      <c r="H58" s="237"/>
      <c r="I58" s="246"/>
      <c r="J58" s="247"/>
      <c r="K58" s="248"/>
      <c r="L58" s="218"/>
      <c r="M58" s="219"/>
      <c r="N58" s="219"/>
      <c r="O58" s="218"/>
      <c r="P58" s="220"/>
    </row>
    <row r="59" spans="1:17" ht="25" customHeight="1" x14ac:dyDescent="0.2">
      <c r="F59" s="235"/>
      <c r="G59" s="236"/>
      <c r="H59" s="237"/>
      <c r="I59" s="246"/>
      <c r="J59" s="247"/>
      <c r="K59" s="248"/>
      <c r="L59" s="218"/>
      <c r="M59" s="219"/>
      <c r="N59" s="219"/>
      <c r="O59" s="221"/>
      <c r="P59" s="222"/>
    </row>
    <row r="60" spans="1:17" ht="25" customHeight="1" x14ac:dyDescent="0.2">
      <c r="F60" s="235"/>
      <c r="G60" s="236"/>
      <c r="H60" s="237"/>
      <c r="I60" s="246"/>
      <c r="J60" s="247"/>
      <c r="K60" s="248"/>
      <c r="L60" s="218"/>
      <c r="M60" s="219"/>
      <c r="N60" s="219"/>
      <c r="O60" s="221"/>
      <c r="P60" s="222"/>
    </row>
    <row r="61" spans="1:17" ht="25" customHeight="1" x14ac:dyDescent="0.2">
      <c r="F61" s="235"/>
      <c r="G61" s="236"/>
      <c r="H61" s="237"/>
      <c r="I61" s="246"/>
      <c r="J61" s="247"/>
      <c r="K61" s="248"/>
      <c r="L61" s="218"/>
      <c r="M61" s="219"/>
      <c r="N61" s="219"/>
      <c r="O61" s="221"/>
      <c r="P61" s="222"/>
    </row>
    <row r="62" spans="1:17" ht="25" customHeight="1" x14ac:dyDescent="0.2">
      <c r="F62" s="235"/>
      <c r="G62" s="236"/>
      <c r="H62" s="237"/>
      <c r="I62" s="246"/>
      <c r="J62" s="247"/>
      <c r="K62" s="248"/>
      <c r="L62" s="218"/>
      <c r="M62" s="219"/>
      <c r="N62" s="219"/>
      <c r="O62" s="221"/>
      <c r="P62" s="222"/>
    </row>
    <row r="63" spans="1:17" ht="25" customHeight="1" thickBot="1" x14ac:dyDescent="0.25">
      <c r="F63" s="238"/>
      <c r="G63" s="239"/>
      <c r="H63" s="240"/>
      <c r="I63" s="249"/>
      <c r="J63" s="250"/>
      <c r="K63" s="251"/>
      <c r="L63" s="229"/>
      <c r="M63" s="230"/>
      <c r="N63" s="230"/>
      <c r="O63" s="229"/>
      <c r="P63" s="231"/>
    </row>
  </sheetData>
  <mergeCells count="113">
    <mergeCell ref="M58:N58"/>
    <mergeCell ref="O58:P58"/>
    <mergeCell ref="I63:J63"/>
    <mergeCell ref="K63:L63"/>
    <mergeCell ref="M63:N63"/>
    <mergeCell ref="O63:P63"/>
    <mergeCell ref="I61:J61"/>
    <mergeCell ref="K61:L61"/>
    <mergeCell ref="M61:N61"/>
    <mergeCell ref="O61:P61"/>
    <mergeCell ref="I62:J62"/>
    <mergeCell ref="K62:L62"/>
    <mergeCell ref="M62:N62"/>
    <mergeCell ref="O62:P62"/>
    <mergeCell ref="B53:Q53"/>
    <mergeCell ref="F55:H63"/>
    <mergeCell ref="I55:J55"/>
    <mergeCell ref="K55:L55"/>
    <mergeCell ref="M55:N55"/>
    <mergeCell ref="O55:P55"/>
    <mergeCell ref="I56:J56"/>
    <mergeCell ref="K56:L56"/>
    <mergeCell ref="M56:N56"/>
    <mergeCell ref="O56:P56"/>
    <mergeCell ref="I59:J59"/>
    <mergeCell ref="K59:L59"/>
    <mergeCell ref="M59:N59"/>
    <mergeCell ref="O59:P59"/>
    <mergeCell ref="I60:J60"/>
    <mergeCell ref="K60:L60"/>
    <mergeCell ref="M60:N60"/>
    <mergeCell ref="O60:P60"/>
    <mergeCell ref="I57:J57"/>
    <mergeCell ref="K57:L57"/>
    <mergeCell ref="M57:N57"/>
    <mergeCell ref="O57:P57"/>
    <mergeCell ref="I58:J58"/>
    <mergeCell ref="K58:L58"/>
    <mergeCell ref="O46:P46"/>
    <mergeCell ref="C51:J51"/>
    <mergeCell ref="K51:L51"/>
    <mergeCell ref="M51:N51"/>
    <mergeCell ref="O51:P51"/>
    <mergeCell ref="C52:J52"/>
    <mergeCell ref="K52:L52"/>
    <mergeCell ref="M52:N52"/>
    <mergeCell ref="O52:P52"/>
    <mergeCell ref="C49:J49"/>
    <mergeCell ref="K49:L49"/>
    <mergeCell ref="M49:N49"/>
    <mergeCell ref="O49:P49"/>
    <mergeCell ref="C50:J50"/>
    <mergeCell ref="K50:L50"/>
    <mergeCell ref="M50:N50"/>
    <mergeCell ref="O50:P50"/>
    <mergeCell ref="A40:Q40"/>
    <mergeCell ref="A42:Q42"/>
    <mergeCell ref="A43:A53"/>
    <mergeCell ref="B43:P43"/>
    <mergeCell ref="Q43:Q52"/>
    <mergeCell ref="C44:J44"/>
    <mergeCell ref="K44:L44"/>
    <mergeCell ref="M44:N44"/>
    <mergeCell ref="O44:P44"/>
    <mergeCell ref="C45:J45"/>
    <mergeCell ref="C47:J47"/>
    <mergeCell ref="K47:L47"/>
    <mergeCell ref="M47:N47"/>
    <mergeCell ref="O47:P47"/>
    <mergeCell ref="C48:J48"/>
    <mergeCell ref="K48:L48"/>
    <mergeCell ref="M48:N48"/>
    <mergeCell ref="O48:P48"/>
    <mergeCell ref="K45:L45"/>
    <mergeCell ref="M45:N45"/>
    <mergeCell ref="O45:P45"/>
    <mergeCell ref="C46:J46"/>
    <mergeCell ref="K46:L46"/>
    <mergeCell ref="M46:N46"/>
    <mergeCell ref="A29:Q29"/>
    <mergeCell ref="A31:Q31"/>
    <mergeCell ref="A32:A39"/>
    <mergeCell ref="B32:P32"/>
    <mergeCell ref="Q32:Q39"/>
    <mergeCell ref="B33:P33"/>
    <mergeCell ref="E34:E39"/>
    <mergeCell ref="I34:I39"/>
    <mergeCell ref="M34:M39"/>
    <mergeCell ref="A18:Q18"/>
    <mergeCell ref="A20:Q20"/>
    <mergeCell ref="A21:A28"/>
    <mergeCell ref="B21:P21"/>
    <mergeCell ref="Q21:Q28"/>
    <mergeCell ref="B22:P22"/>
    <mergeCell ref="E23:E28"/>
    <mergeCell ref="I23:I28"/>
    <mergeCell ref="M23:M28"/>
    <mergeCell ref="A9:Q9"/>
    <mergeCell ref="A10:A17"/>
    <mergeCell ref="B10:P10"/>
    <mergeCell ref="Q10:Q17"/>
    <mergeCell ref="B11:P11"/>
    <mergeCell ref="E12:E17"/>
    <mergeCell ref="I12:I17"/>
    <mergeCell ref="M12:M17"/>
    <mergeCell ref="A1:Q1"/>
    <mergeCell ref="B2:P2"/>
    <mergeCell ref="Q2:Q7"/>
    <mergeCell ref="B3:P3"/>
    <mergeCell ref="B4:P4"/>
    <mergeCell ref="B5:P5"/>
    <mergeCell ref="B6:P6"/>
    <mergeCell ref="B7:P7"/>
  </mergeCells>
  <printOptions horizontalCentered="1" verticalCentered="1"/>
  <pageMargins left="0.7" right="0.7" top="0.75" bottom="0.75" header="0.3" footer="0.3"/>
  <pageSetup paperSize="9" scale="23" pageOrder="overThenDown"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RANKING 2025</vt:lpstr>
      <vt:lpstr>REGULAMENTO S17M</vt:lpstr>
      <vt:lpstr>GRUPOS</vt:lpstr>
      <vt:lpstr>TABELA MASC</vt:lpstr>
      <vt:lpstr>AVERAGE MASC</vt:lpstr>
      <vt:lpstr>'RANKING 2025'!Print_Titles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Wander Lucas Vale da Silva</dc:creator>
  <cp:lastModifiedBy>Tiago Stangarlin</cp:lastModifiedBy>
  <cp:lastPrinted>2025-07-31T20:30:16Z</cp:lastPrinted>
  <dcterms:created xsi:type="dcterms:W3CDTF">2022-11-04T18:41:09Z</dcterms:created>
  <dcterms:modified xsi:type="dcterms:W3CDTF">2026-05-16T18:45:19Z</dcterms:modified>
</cp:coreProperties>
</file>