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tenlu\OneDrive\Área de Trabalho\5ª ETAPA - 2025 - Parque da Cidade\INI MASC\"/>
    </mc:Choice>
  </mc:AlternateContent>
  <xr:revisionPtr revIDLastSave="0" documentId="13_ncr:1_{A192286E-9C53-4415-9E9D-730386FF1B04}" xr6:coauthVersionLast="47" xr6:coauthVersionMax="47" xr10:uidLastSave="{00000000-0000-0000-0000-000000000000}"/>
  <bookViews>
    <workbookView xWindow="-120" yWindow="-120" windowWidth="20730" windowHeight="11040" xr2:uid="{F3961328-0035-4217-99ED-6477153DAF09}"/>
  </bookViews>
  <sheets>
    <sheet name="RANKING 2025" sheetId="45" r:id="rId1"/>
    <sheet name="REGULAMENTO IM" sheetId="43" r:id="rId2"/>
    <sheet name="GRUPOS" sheetId="40" r:id="rId3"/>
    <sheet name="TABELA" sheetId="41" r:id="rId4"/>
    <sheet name="AVERAGE" sheetId="42" r:id="rId5"/>
  </sheets>
  <definedNames>
    <definedName name="FromArray_1" localSheetId="0">_xlfn.ANCHORARRAY(#REF!)</definedName>
    <definedName name="FromArray_1" localSheetId="1">_xlfn.ANCHORARRAY(#REF!)</definedName>
    <definedName name="FromArray_1">_xlfn.ANCHORARRAY(#REF!)</definedName>
    <definedName name="_xlnm.Print_Titles" localSheetId="0">'RANKING 2025'!$1:$6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45" l="1"/>
  <c r="L75" i="45"/>
  <c r="L74" i="45"/>
  <c r="L73" i="45"/>
  <c r="L72" i="45"/>
  <c r="L71" i="45"/>
  <c r="L70" i="45"/>
  <c r="L69" i="45"/>
  <c r="L68" i="45"/>
  <c r="L67" i="45"/>
  <c r="L66" i="45"/>
  <c r="L65" i="45"/>
  <c r="L64" i="45"/>
  <c r="L63" i="45"/>
  <c r="L62" i="45"/>
  <c r="L61" i="45"/>
  <c r="L60" i="45"/>
  <c r="L59" i="45"/>
  <c r="L58" i="45"/>
  <c r="L57" i="45"/>
  <c r="L56" i="45"/>
  <c r="L55" i="45"/>
  <c r="L53" i="45"/>
  <c r="L51" i="45"/>
  <c r="L49" i="45"/>
  <c r="L39" i="45"/>
  <c r="L45" i="45"/>
  <c r="L38" i="45"/>
  <c r="L54" i="45"/>
  <c r="L50" i="45"/>
  <c r="L47" i="45"/>
  <c r="L42" i="45"/>
  <c r="L41" i="45"/>
  <c r="L40" i="45"/>
  <c r="L20" i="45"/>
  <c r="L36" i="45"/>
  <c r="L35" i="45"/>
  <c r="L34" i="45"/>
  <c r="L33" i="45"/>
  <c r="L31" i="45"/>
  <c r="L30" i="45"/>
  <c r="L29" i="45"/>
  <c r="L28" i="45"/>
  <c r="L25" i="45"/>
  <c r="L24" i="45"/>
  <c r="L23" i="45"/>
  <c r="L22" i="45"/>
  <c r="L21" i="45"/>
  <c r="L12" i="45"/>
  <c r="L19" i="45"/>
  <c r="L18" i="45"/>
  <c r="L16" i="45"/>
  <c r="L15" i="45"/>
  <c r="L14" i="45"/>
  <c r="L13" i="45"/>
  <c r="L11" i="45"/>
  <c r="L9" i="45"/>
  <c r="L10" i="45"/>
  <c r="L17" i="45"/>
  <c r="L32" i="45"/>
  <c r="L27" i="45"/>
  <c r="L48" i="45"/>
  <c r="L26" i="45"/>
  <c r="L52" i="45"/>
  <c r="L44" i="45"/>
  <c r="L43" i="45"/>
  <c r="L46" i="45"/>
  <c r="L8" i="45"/>
  <c r="L7" i="45"/>
  <c r="G28" i="41" l="1"/>
  <c r="P24" i="41"/>
  <c r="P25" i="41"/>
  <c r="D25" i="42" l="1"/>
  <c r="K25" i="42"/>
  <c r="H14" i="42"/>
  <c r="O14" i="42"/>
  <c r="O18" i="40" l="1"/>
  <c r="O19" i="40"/>
  <c r="G24" i="41"/>
  <c r="G25" i="41"/>
  <c r="O14" i="40"/>
  <c r="G29" i="41"/>
  <c r="O16" i="40"/>
  <c r="O17" i="40"/>
  <c r="O15" i="40"/>
  <c r="C12" i="40"/>
  <c r="O20" i="40" l="1"/>
  <c r="O13" i="40"/>
  <c r="P26" i="42"/>
  <c r="O26" i="42"/>
  <c r="L26" i="42"/>
  <c r="K26" i="42"/>
  <c r="H26" i="42"/>
  <c r="G26" i="42"/>
  <c r="D26" i="42"/>
  <c r="C26" i="42"/>
  <c r="P25" i="42"/>
  <c r="O25" i="42"/>
  <c r="L25" i="42"/>
  <c r="H25" i="42"/>
  <c r="G25" i="42"/>
  <c r="C25" i="42"/>
  <c r="P24" i="42"/>
  <c r="O24" i="42"/>
  <c r="L24" i="42"/>
  <c r="K24" i="42"/>
  <c r="H24" i="42"/>
  <c r="G24" i="42"/>
  <c r="D24" i="42"/>
  <c r="C24" i="42"/>
  <c r="P15" i="42"/>
  <c r="O15" i="42"/>
  <c r="L15" i="42"/>
  <c r="K15" i="42"/>
  <c r="H15" i="42"/>
  <c r="G15" i="42"/>
  <c r="D15" i="42"/>
  <c r="C15" i="42"/>
  <c r="P14" i="42"/>
  <c r="L14" i="42"/>
  <c r="K14" i="42"/>
  <c r="G14" i="42"/>
  <c r="D14" i="42"/>
  <c r="C14" i="42"/>
  <c r="P13" i="42"/>
  <c r="O13" i="42"/>
  <c r="L13" i="42"/>
  <c r="K13" i="42"/>
  <c r="H13" i="42"/>
  <c r="G13" i="42"/>
  <c r="D13" i="42"/>
  <c r="C13" i="42"/>
  <c r="G14" i="40"/>
  <c r="P11" i="41" s="1"/>
  <c r="C14" i="40"/>
  <c r="P16" i="41" s="1"/>
  <c r="G13" i="40"/>
  <c r="J23" i="42" s="1"/>
  <c r="C13" i="40"/>
  <c r="P14" i="41" s="1"/>
  <c r="G12" i="40"/>
  <c r="F23" i="42" s="1"/>
  <c r="G16" i="41"/>
  <c r="G11" i="40"/>
  <c r="C11" i="40"/>
  <c r="G18" i="41" s="1"/>
  <c r="G11" i="41" l="1"/>
  <c r="G15" i="41"/>
  <c r="G16" i="42"/>
  <c r="P27" i="42"/>
  <c r="K27" i="42"/>
  <c r="H27" i="42"/>
  <c r="C27" i="42"/>
  <c r="L27" i="42"/>
  <c r="G27" i="42"/>
  <c r="O16" i="42"/>
  <c r="H16" i="42"/>
  <c r="P16" i="42"/>
  <c r="D27" i="42"/>
  <c r="K16" i="42"/>
  <c r="D16" i="42"/>
  <c r="C16" i="42"/>
  <c r="L16" i="42"/>
  <c r="N23" i="42"/>
  <c r="O27" i="42"/>
  <c r="G21" i="41"/>
  <c r="P13" i="41"/>
  <c r="P15" i="41"/>
  <c r="N12" i="42"/>
  <c r="P10" i="41"/>
  <c r="P20" i="41"/>
  <c r="P17" i="41"/>
  <c r="P21" i="41"/>
  <c r="G20" i="41"/>
  <c r="P12" i="41"/>
  <c r="J12" i="42"/>
  <c r="G12" i="41"/>
  <c r="P18" i="41"/>
  <c r="F12" i="42"/>
  <c r="G13" i="41"/>
  <c r="G17" i="41"/>
  <c r="G19" i="41"/>
  <c r="P19" i="41"/>
  <c r="B23" i="42"/>
  <c r="B12" i="42"/>
  <c r="G10" i="41"/>
  <c r="G14" i="41"/>
  <c r="P28" i="42" l="1"/>
  <c r="H28" i="42"/>
  <c r="D28" i="42"/>
  <c r="H17" i="42"/>
  <c r="L28" i="42"/>
  <c r="L17" i="42"/>
  <c r="P17" i="42"/>
  <c r="D17" i="42"/>
</calcChain>
</file>

<file path=xl/sharedStrings.xml><?xml version="1.0" encoding="utf-8"?>
<sst xmlns="http://schemas.openxmlformats.org/spreadsheetml/2006/main" count="560" uniqueCount="315">
  <si>
    <t>TOTAL</t>
  </si>
  <si>
    <t>1º</t>
  </si>
  <si>
    <t>4º</t>
  </si>
  <si>
    <t>2º</t>
  </si>
  <si>
    <t>3º</t>
  </si>
  <si>
    <t>5º</t>
  </si>
  <si>
    <t>6º</t>
  </si>
  <si>
    <t>7º</t>
  </si>
  <si>
    <t>8º</t>
  </si>
  <si>
    <t>Jogo</t>
  </si>
  <si>
    <t>Hora</t>
  </si>
  <si>
    <t>Quadra</t>
  </si>
  <si>
    <t>Equipe 1</t>
  </si>
  <si>
    <t>Equipe 2</t>
  </si>
  <si>
    <t>PRO</t>
  </si>
  <si>
    <t>CONTRA</t>
  </si>
  <si>
    <t>MEDIA</t>
  </si>
  <si>
    <t>X</t>
  </si>
  <si>
    <t>AVERAGE</t>
  </si>
  <si>
    <t>RANKING</t>
  </si>
  <si>
    <t>DUPLA</t>
  </si>
  <si>
    <t>Dupla</t>
  </si>
  <si>
    <t>TABELA</t>
  </si>
  <si>
    <t>CLASSIFICADOS</t>
  </si>
  <si>
    <t>POSIÇÃO</t>
  </si>
  <si>
    <t>item</t>
  </si>
  <si>
    <t>Título</t>
  </si>
  <si>
    <t>Descrição</t>
  </si>
  <si>
    <t>Observação</t>
  </si>
  <si>
    <t>VITÓRIAS</t>
  </si>
  <si>
    <t>A</t>
  </si>
  <si>
    <t>B</t>
  </si>
  <si>
    <t>Grupo</t>
  </si>
  <si>
    <t>GRUPO A</t>
  </si>
  <si>
    <t>GRUPO B</t>
  </si>
  <si>
    <t>REGULAMENTO</t>
  </si>
  <si>
    <t>Ranking de entrada</t>
  </si>
  <si>
    <t>Distribuição dos grupos</t>
  </si>
  <si>
    <t>Quantidade de jogos</t>
  </si>
  <si>
    <t>Pontuação em Wx0</t>
  </si>
  <si>
    <t>As partidas resolvidas pela não apresentação de uma dupla resultará na vitória da dupla que se apresentou, contudo, não haverá saldo de pontos para nenhuma das duplas envolvidas. No caso de duplo W x 0, as duas duplas serão consideradas derrotadas e, consequentemente, sem saldo de pontos.</t>
  </si>
  <si>
    <t>Pontuação em partida abandonada por desistência</t>
  </si>
  <si>
    <t>As partidas em que uma dupla desistir de continuar a partida, terá o placar de 21 (ou diferença de 2 pontos) para a equipe que não desistiu. A dupla que desistiu permanece com a pontuação do momento da desistência.</t>
  </si>
  <si>
    <t>Pontuação no Ranking</t>
  </si>
  <si>
    <t>A distribuição de pontos por atleta ao final de cada etapa se dará da seguinte forma:</t>
  </si>
  <si>
    <r>
      <t xml:space="preserve">1º lugar: </t>
    </r>
    <r>
      <rPr>
        <b/>
        <sz val="13"/>
        <color theme="1"/>
        <rFont val="Aptos"/>
        <family val="2"/>
      </rPr>
      <t>200</t>
    </r>
    <r>
      <rPr>
        <sz val="13"/>
        <color theme="1"/>
        <rFont val="Aptos"/>
        <family val="2"/>
      </rPr>
      <t xml:space="preserve"> / 2º lugar: </t>
    </r>
    <r>
      <rPr>
        <b/>
        <sz val="13"/>
        <color theme="1"/>
        <rFont val="Aptos"/>
        <family val="2"/>
      </rPr>
      <t xml:space="preserve">180  </t>
    </r>
    <r>
      <rPr>
        <sz val="13"/>
        <color theme="1"/>
        <rFont val="Aptos"/>
        <family val="2"/>
      </rPr>
      <t>/ 3º lugar:</t>
    </r>
    <r>
      <rPr>
        <b/>
        <sz val="13"/>
        <color theme="1"/>
        <rFont val="Aptos"/>
        <family val="2"/>
      </rPr>
      <t xml:space="preserve"> 160</t>
    </r>
    <r>
      <rPr>
        <sz val="13"/>
        <color theme="1"/>
        <rFont val="Aptos"/>
        <family val="2"/>
      </rPr>
      <t xml:space="preserve"> / 4º lugar: </t>
    </r>
    <r>
      <rPr>
        <b/>
        <sz val="13"/>
        <color theme="1"/>
        <rFont val="Aptos"/>
        <family val="2"/>
      </rPr>
      <t>140</t>
    </r>
    <r>
      <rPr>
        <sz val="13"/>
        <color theme="1"/>
        <rFont val="Aptos"/>
        <family val="2"/>
      </rPr>
      <t xml:space="preserve"> / 5º lugar: </t>
    </r>
    <r>
      <rPr>
        <b/>
        <sz val="13"/>
        <color theme="1"/>
        <rFont val="Aptos"/>
        <family val="2"/>
      </rPr>
      <t>120</t>
    </r>
    <r>
      <rPr>
        <sz val="13"/>
        <color theme="1"/>
        <rFont val="Aptos"/>
        <family val="2"/>
      </rPr>
      <t xml:space="preserve"> / 9º lugar: </t>
    </r>
    <r>
      <rPr>
        <b/>
        <sz val="13"/>
        <color theme="1"/>
        <rFont val="Aptos"/>
        <family val="2"/>
      </rPr>
      <t>100.</t>
    </r>
  </si>
  <si>
    <t>Penalidades</t>
  </si>
  <si>
    <t>Suspensão de partidas</t>
  </si>
  <si>
    <t>As partidas que precisarem ser suspensas por motivos de mau tempo, falta de iluminação e assemelhados, retornará com o placar da interrupção, caso isso ocorra em até 4 horas. Após isso, a partida recomeçará com o placar de 0x0.</t>
  </si>
  <si>
    <t>Uniformização</t>
  </si>
  <si>
    <t>Obrigatória.</t>
  </si>
  <si>
    <t>Bermudas da mesma cor.</t>
  </si>
  <si>
    <t>Preferencialmente.</t>
  </si>
  <si>
    <t>Horário de início</t>
  </si>
  <si>
    <t>Local da competição</t>
  </si>
  <si>
    <t>Quantidade de duplas</t>
  </si>
  <si>
    <t>1º - nº de vitórias.</t>
  </si>
  <si>
    <t>2º - ponto average.</t>
  </si>
  <si>
    <t>3º - confronto direto.</t>
  </si>
  <si>
    <t>4º - sorteio.</t>
  </si>
  <si>
    <t>Final 1 (disputa pelo 3º lugar)</t>
  </si>
  <si>
    <t>Final 2: (disputa pelo 1º lugar)</t>
  </si>
  <si>
    <t>Colocação</t>
  </si>
  <si>
    <t>Pontuação</t>
  </si>
  <si>
    <t>Rnk</t>
  </si>
  <si>
    <t>UF</t>
  </si>
  <si>
    <t>CHAVE A</t>
  </si>
  <si>
    <t>CHAVE B</t>
  </si>
  <si>
    <t>1º A</t>
  </si>
  <si>
    <t>2º A</t>
  </si>
  <si>
    <t>3º A</t>
  </si>
  <si>
    <t>4º A</t>
  </si>
  <si>
    <r>
      <t xml:space="preserve">Jogo entre os vencedores das semifinais:  </t>
    </r>
    <r>
      <rPr>
        <b/>
        <sz val="13"/>
        <color theme="1"/>
        <rFont val="Aptos"/>
        <family val="2"/>
      </rPr>
      <t>2 s</t>
    </r>
    <r>
      <rPr>
        <b/>
        <i/>
        <sz val="13"/>
        <color theme="1"/>
        <rFont val="Aptos"/>
        <family val="2"/>
      </rPr>
      <t xml:space="preserve">ets </t>
    </r>
    <r>
      <rPr>
        <b/>
        <sz val="13"/>
        <color theme="1"/>
        <rFont val="Aptos"/>
        <family val="2"/>
      </rPr>
      <t xml:space="preserve">de 21 pontos e </t>
    </r>
    <r>
      <rPr>
        <b/>
        <i/>
        <sz val="13"/>
        <color theme="1"/>
        <rFont val="Aptos"/>
        <family val="2"/>
      </rPr>
      <t xml:space="preserve">set </t>
    </r>
    <r>
      <rPr>
        <b/>
        <sz val="13"/>
        <color theme="1"/>
        <rFont val="Aptos"/>
        <family val="2"/>
      </rPr>
      <t>desempate de 15 pontos.</t>
    </r>
  </si>
  <si>
    <t>CLASSIFICAÇÃO FINAL</t>
  </si>
  <si>
    <t>8 duplas (16 atletas).</t>
  </si>
  <si>
    <t>18 partidas.</t>
  </si>
  <si>
    <t>Quantidade de sets*</t>
  </si>
  <si>
    <t>1 Set de 21 pontos.</t>
  </si>
  <si>
    <t>*Exceto a final 2.</t>
  </si>
  <si>
    <t>Sistema de disputa da 1ª fase</t>
  </si>
  <si>
    <t xml:space="preserve">Todos contra todos no grupo. </t>
  </si>
  <si>
    <t>3 jogos por equipe.</t>
  </si>
  <si>
    <t>Critérios de desempate para definição de posições no grupo</t>
  </si>
  <si>
    <t>Classificação direta para as semifinais</t>
  </si>
  <si>
    <t>Classifica-se o primeiro colocado de cada grupo diretamente para as semifinais.</t>
  </si>
  <si>
    <t>Quartas-de-final</t>
  </si>
  <si>
    <t>Classificam-se os segundos e terceiros colocados de cada grupo com o seguinte cruzamento:</t>
  </si>
  <si>
    <t>Semifinais</t>
  </si>
  <si>
    <t>1B           X           Vencedor: 2A X 3B</t>
  </si>
  <si>
    <t xml:space="preserve">1A           X           Vencedor: 2B X 3A </t>
  </si>
  <si>
    <r>
      <t xml:space="preserve">Jogo entre os perdedores das semifinais: </t>
    </r>
    <r>
      <rPr>
        <b/>
        <sz val="13"/>
        <color theme="1"/>
        <rFont val="Aptos"/>
        <family val="2"/>
      </rPr>
      <t>1 Set de 21 pontos.</t>
    </r>
  </si>
  <si>
    <t>A atleta que agir com desrespeito e violência em relação à arbitragem, adversários, parceiro e qualquer pessoa presente,  poderá ser suspenso ou banido do Circuito NCT por deliberação da Comissão Organizadora.</t>
  </si>
  <si>
    <t>QUARTAS-DE-FINAL</t>
  </si>
  <si>
    <t>SEMIFINAIS</t>
  </si>
  <si>
    <t>FASE DE GRUPOS</t>
  </si>
  <si>
    <t>1ª Etapa</t>
  </si>
  <si>
    <t>Arena Caffe</t>
  </si>
  <si>
    <t>CIRCUITO NCT VÔLEI DE PRAIA - 2025</t>
  </si>
  <si>
    <t>Camiseta oficial do Circuito NCT Vôlei de Praia 2025.</t>
  </si>
  <si>
    <t>FINAL 1: disputa pelo 3º lugar</t>
  </si>
  <si>
    <t>FINAL 2: disputa pelo 1º lugar</t>
  </si>
  <si>
    <t>Rk</t>
  </si>
  <si>
    <t>Atleta</t>
  </si>
  <si>
    <t>Nome Completo</t>
  </si>
  <si>
    <t>Centro de Treinamento</t>
  </si>
  <si>
    <t>Total</t>
  </si>
  <si>
    <t>DF</t>
  </si>
  <si>
    <t>Não tem</t>
  </si>
  <si>
    <t>Parque da Cidade</t>
  </si>
  <si>
    <t>Modelo de serpentina seguindo ranking 2025.</t>
  </si>
  <si>
    <t>1º B</t>
  </si>
  <si>
    <t>2º B</t>
  </si>
  <si>
    <t>3º B</t>
  </si>
  <si>
    <t>CÉSAR</t>
  </si>
  <si>
    <t>3ª Etapa</t>
  </si>
  <si>
    <t>Ranking 2025. Nos casos de empate, prevalecerá a equipe que tiver a maior quantidade de melhores posições. P. ex.: o empate em pontos entre duplas será resolvido a favor da dupla que tem o maior número de 1º lugares, 2º, etc, e assim sucessivamente. Permancendo o empate, haverá sorteio.</t>
  </si>
  <si>
    <r>
      <t xml:space="preserve">2A x 3B        </t>
    </r>
    <r>
      <rPr>
        <b/>
        <sz val="13"/>
        <rFont val="Aptos"/>
        <family val="2"/>
      </rPr>
      <t xml:space="preserve">   ------------------         </t>
    </r>
    <r>
      <rPr>
        <b/>
        <sz val="13"/>
        <color rgb="FF0070C0"/>
        <rFont val="Aptos"/>
        <family val="2"/>
      </rPr>
      <t>2B  X  3A</t>
    </r>
  </si>
  <si>
    <t>GRUPOS</t>
  </si>
  <si>
    <t>Distribuição pelo ranking no modo serpentina</t>
  </si>
  <si>
    <t>GO</t>
  </si>
  <si>
    <t>RANKING 2025</t>
  </si>
  <si>
    <t>Vamo Beach</t>
  </si>
  <si>
    <t>2ª Etapa</t>
  </si>
  <si>
    <t>4ª Etapa</t>
  </si>
  <si>
    <t>Arena 61</t>
  </si>
  <si>
    <t>INICIANTE MASCULINO</t>
  </si>
  <si>
    <t>DUDU SANTOS 👑</t>
  </si>
  <si>
    <t>Josualdo Oliveira Santos</t>
  </si>
  <si>
    <t>THAYUAN 👑</t>
  </si>
  <si>
    <t>Thayuan Silva Yamada</t>
  </si>
  <si>
    <t>JEAN</t>
  </si>
  <si>
    <t>Jean Carlos Gomes de Araújo</t>
  </si>
  <si>
    <t>ÁTILA</t>
  </si>
  <si>
    <t>Átila Sobral de Oliveira</t>
  </si>
  <si>
    <t>ANTÔNIO</t>
  </si>
  <si>
    <t>Antônio Carlos Gouveia do Nascimento</t>
  </si>
  <si>
    <t>CTEN (NIPO)</t>
  </si>
  <si>
    <t>JOWJOW</t>
  </si>
  <si>
    <t>Joaran Moura Marques</t>
  </si>
  <si>
    <t>CT Beats</t>
  </si>
  <si>
    <t>CADU SANTOS</t>
  </si>
  <si>
    <t>Carlos Eduardo Morais dos Santos</t>
  </si>
  <si>
    <t>GEO</t>
  </si>
  <si>
    <t xml:space="preserve">Geovane Rodrigues da Mota </t>
  </si>
  <si>
    <t>BERNA</t>
  </si>
  <si>
    <t>Bernardo Guedes Ribeiro</t>
  </si>
  <si>
    <t>DUDU CASTRO</t>
  </si>
  <si>
    <t>Luiz Eduardo de Castro Almeida</t>
  </si>
  <si>
    <t>OLAVO</t>
  </si>
  <si>
    <t>Olavo Oliveira Braga Neto</t>
  </si>
  <si>
    <t>Fitvôlei Nação</t>
  </si>
  <si>
    <t>KAKA</t>
  </si>
  <si>
    <t>Carlos Daniel Fernandes de Lima</t>
  </si>
  <si>
    <t>MATEUS ALVES</t>
  </si>
  <si>
    <t>Matheus Alves Martos</t>
  </si>
  <si>
    <t>THOMÁS</t>
  </si>
  <si>
    <t>Thomás Andrade se Souto</t>
  </si>
  <si>
    <t>DUUH</t>
  </si>
  <si>
    <t xml:space="preserve">Paulo Eduardo Gomes dos Santos </t>
  </si>
  <si>
    <t>FERNANDO G.</t>
  </si>
  <si>
    <t>Fernando de Almeida Guimarães</t>
  </si>
  <si>
    <t>MICHAEL</t>
  </si>
  <si>
    <t xml:space="preserve">Michael Lago </t>
  </si>
  <si>
    <t>DIEGO TENÓRIO</t>
  </si>
  <si>
    <t>Diego Tenorio Gomes</t>
  </si>
  <si>
    <t>NCT (Arena Caffe)</t>
  </si>
  <si>
    <t>MATEUS REIS</t>
  </si>
  <si>
    <t>Mateus de Andrade Rodrigues Reis</t>
  </si>
  <si>
    <t>RODRIGO FIDELIS</t>
  </si>
  <si>
    <t>Rodrigo Barcellos Fidelis</t>
  </si>
  <si>
    <t>DAN</t>
  </si>
  <si>
    <t>Daniel Souza de Santana</t>
  </si>
  <si>
    <t>ERIK</t>
  </si>
  <si>
    <t>Erik Lopes da Silva</t>
  </si>
  <si>
    <t>César Augusto Tavares da Silva</t>
  </si>
  <si>
    <t>GABRIEL</t>
  </si>
  <si>
    <t>Gabriel Santos Horst de Oliveira</t>
  </si>
  <si>
    <t>PPDF</t>
  </si>
  <si>
    <t>HENRIQUE LINHARES</t>
  </si>
  <si>
    <t>Henrique da Câmara Linhares</t>
  </si>
  <si>
    <t>CBMDF</t>
  </si>
  <si>
    <t>LUCAS SILVA</t>
  </si>
  <si>
    <t xml:space="preserve">Lucas Silva Pereira Rosa </t>
  </si>
  <si>
    <t>PEDRO AUGUSTO</t>
  </si>
  <si>
    <t>Pedro Augusto Cardoso</t>
  </si>
  <si>
    <t>NCT (Vamo Beach)</t>
  </si>
  <si>
    <t>ALCIDES</t>
  </si>
  <si>
    <t>Alcides Nicolas Silva Santos</t>
  </si>
  <si>
    <t>ARTHUR</t>
  </si>
  <si>
    <t>Arthur Ataíde Medeiros</t>
  </si>
  <si>
    <t>CALEBE</t>
  </si>
  <si>
    <t>Calebe Soares Alencar</t>
  </si>
  <si>
    <t>HENRIQUE GUIMARÃES</t>
  </si>
  <si>
    <t xml:space="preserve">Henrique Guimarães Gonçalves </t>
  </si>
  <si>
    <t>KAUAN</t>
  </si>
  <si>
    <t>Kauan Borges Guedes</t>
  </si>
  <si>
    <t>NATAN</t>
  </si>
  <si>
    <t>Natanael Weide de Abreu</t>
  </si>
  <si>
    <t>Vila Beach</t>
  </si>
  <si>
    <t>AISLAN BARBOSA</t>
  </si>
  <si>
    <t>Aislan Barbosa de Oliveira</t>
  </si>
  <si>
    <t>Asas</t>
  </si>
  <si>
    <t>GABRIEL HENRIQUE</t>
  </si>
  <si>
    <t xml:space="preserve"> Gabriel Henrique dos Santos Pinto</t>
  </si>
  <si>
    <t>Real Brasiliense</t>
  </si>
  <si>
    <t>ALAN</t>
  </si>
  <si>
    <t>Alan Carlos Brandão</t>
  </si>
  <si>
    <t>Luziânia</t>
  </si>
  <si>
    <t>JOTA</t>
  </si>
  <si>
    <t xml:space="preserve">Julison José Moraes da Silva </t>
  </si>
  <si>
    <t>MAKITA</t>
  </si>
  <si>
    <t>Bruno Gonçalves Makita Baroboskin</t>
  </si>
  <si>
    <t>MATEUS VOLK</t>
  </si>
  <si>
    <t>Mateus Volkmer Amaral</t>
  </si>
  <si>
    <t>RYAN</t>
  </si>
  <si>
    <t>Ryan Gabriel Dias</t>
  </si>
  <si>
    <t>ALLEF</t>
  </si>
  <si>
    <t>Allef Lucas de Freitas Coutinho</t>
  </si>
  <si>
    <t>MG</t>
  </si>
  <si>
    <t>AUGUSTO</t>
  </si>
  <si>
    <t>SESC</t>
  </si>
  <si>
    <t>CARLOS VICTOR</t>
  </si>
  <si>
    <t>Carlos Victor Alves de Araújo</t>
  </si>
  <si>
    <t>Ocidental Vôlei</t>
  </si>
  <si>
    <t>CAVALCANTI</t>
  </si>
  <si>
    <t xml:space="preserve">Werlon Costa Cavalcanti </t>
  </si>
  <si>
    <t>Centro Olímpico Sobradinho</t>
  </si>
  <si>
    <t>DE SOUZA</t>
  </si>
  <si>
    <t xml:space="preserve">Luis Felipe de Souza Nascimento </t>
  </si>
  <si>
    <t>FELIPE</t>
  </si>
  <si>
    <t>Felipe Jacomini Ribas</t>
  </si>
  <si>
    <t>GABRIEL GILIO</t>
  </si>
  <si>
    <t xml:space="preserve">Gabriel Golin Gilio </t>
  </si>
  <si>
    <t>GUSTAVO GILIO</t>
  </si>
  <si>
    <t>Gustavo Lucena Gilio</t>
  </si>
  <si>
    <t>HUGO</t>
  </si>
  <si>
    <t xml:space="preserve">Hugo Batista da Silva </t>
  </si>
  <si>
    <t>ISAC</t>
  </si>
  <si>
    <t>Christopher Isac Silva do Nascimento</t>
  </si>
  <si>
    <t>JOÃO DIAS</t>
  </si>
  <si>
    <t>João Felipe Rodrigues Dias</t>
  </si>
  <si>
    <t>JOSÉ</t>
  </si>
  <si>
    <t>Dirceu José de Almeida Soares</t>
  </si>
  <si>
    <t>LUAN GERES</t>
  </si>
  <si>
    <t>Luan Henrique Geres da Silva</t>
  </si>
  <si>
    <t>LUIZ GUSTAVO</t>
  </si>
  <si>
    <t>Luiz Gustavo</t>
  </si>
  <si>
    <t>LUQUINHAS</t>
  </si>
  <si>
    <t xml:space="preserve">Lucas Leandro Vieira </t>
  </si>
  <si>
    <t>Clube CO</t>
  </si>
  <si>
    <t>MARCO AMARAL</t>
  </si>
  <si>
    <t>Marco Aurélio Costa Amaral</t>
  </si>
  <si>
    <t>NANDES</t>
  </si>
  <si>
    <t>Lucas Fernandes Brito</t>
  </si>
  <si>
    <t>PEDRO SOUZA</t>
  </si>
  <si>
    <t>Pedro de Souza Camargo</t>
  </si>
  <si>
    <t>RENNY</t>
  </si>
  <si>
    <t>Renny Rogeres de Freitas Coutinho</t>
  </si>
  <si>
    <t>Alvorada Vôlei</t>
  </si>
  <si>
    <t>VALTER</t>
  </si>
  <si>
    <t>Valter Rodrigues Martins</t>
  </si>
  <si>
    <t>5ª Etapa</t>
  </si>
  <si>
    <t>06/12/2025</t>
  </si>
  <si>
    <t>sábado</t>
  </si>
  <si>
    <t>8h, em DUAS quadras.</t>
  </si>
  <si>
    <t>Parque da Cidade Sarah Kubitschek (próximo à ADM) - Localização compartilhada no grupo de whatsapp</t>
  </si>
  <si>
    <t>5ª Etapa - Parque da Cidade</t>
  </si>
  <si>
    <t>6 de dezembro de 2025 - sábado</t>
  </si>
  <si>
    <t>DUDU SANTOS/THAYUAN</t>
  </si>
  <si>
    <t>1. Augusto Pires*️⃣/Paulo Marcelo*️⃣</t>
  </si>
  <si>
    <t>2. Guilherme✅/Enoque✅</t>
  </si>
  <si>
    <t>3. Marcus Kauã✅/Ewerton✅</t>
  </si>
  <si>
    <t>4. Jean✅/Kaka✅</t>
  </si>
  <si>
    <t>5. Duuh✅/Ítalo Lopes✅</t>
  </si>
  <si>
    <t>6. Leonardo✅/Antônio✅</t>
  </si>
  <si>
    <t>7. Dudu/Thayaun</t>
  </si>
  <si>
    <t>8. Adriano/Marcus</t>
  </si>
  <si>
    <t>AUGUSTO/MARCELLO</t>
  </si>
  <si>
    <t>JEAN/KAKÁ</t>
  </si>
  <si>
    <t>DUUH/ÍTALO</t>
  </si>
  <si>
    <t>ANTÔNIO/LEONARDO</t>
  </si>
  <si>
    <t>GUILHERME/ENOQUE</t>
  </si>
  <si>
    <t>ADRIANO/MARCUS VINÍCIUS</t>
  </si>
  <si>
    <t>740 + 740 = 1480</t>
  </si>
  <si>
    <t>560 + 260 = 820</t>
  </si>
  <si>
    <t>400 + 0 = 400</t>
  </si>
  <si>
    <t>220 + 0 = 220</t>
  </si>
  <si>
    <t>100 + 0 = 100</t>
  </si>
  <si>
    <t>4º Colocado Grupo A</t>
  </si>
  <si>
    <t>4º Colocado Grupo B</t>
  </si>
  <si>
    <t>MARCUS KAUAN/EWERTON</t>
  </si>
  <si>
    <t>W</t>
  </si>
  <si>
    <t>PEDRO/MARCELLO</t>
  </si>
  <si>
    <t>MARCUS KAUÂ/EWERTON</t>
  </si>
  <si>
    <t>ANTÔNIO/LEORNADO</t>
  </si>
  <si>
    <t>ANTÔNIO/ LEONARDO</t>
  </si>
  <si>
    <t>GUILHERME</t>
  </si>
  <si>
    <t>ENOQUE</t>
  </si>
  <si>
    <t>EWERTON</t>
  </si>
  <si>
    <t>ÍTALO</t>
  </si>
  <si>
    <t>ADRIANO</t>
  </si>
  <si>
    <t>MARCUS VINÍCIUS</t>
  </si>
  <si>
    <t>LEONARDO</t>
  </si>
  <si>
    <t>MARCELLO</t>
  </si>
  <si>
    <t>Enoque Souza de Oliveira</t>
  </si>
  <si>
    <t xml:space="preserve">Ewerton Almeida Silva </t>
  </si>
  <si>
    <t>Guilherme Caliman Damazio</t>
  </si>
  <si>
    <t xml:space="preserve">Marcus Kauan Rodrigues da Costa </t>
  </si>
  <si>
    <t>MARCUS KAUAN</t>
  </si>
  <si>
    <t>Ítalo Luis Costa Teixeira Lopes</t>
  </si>
  <si>
    <t>M2 (Arena 61)</t>
  </si>
  <si>
    <t>Adriano Marcio de Oliveira Flausino Filho</t>
  </si>
  <si>
    <t>Marcus Vinicius Barreto de Macedo</t>
  </si>
  <si>
    <t>Leonardo Teixeira Sá Freire de Abreu</t>
  </si>
  <si>
    <t xml:space="preserve">Paulo Marcello Aragão Leite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</si>
</sst>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h:mm;@"/>
  </numFmts>
  <fonts count="56">
    <font>
      <sz val="11"/>
      <color theme="1"/>
      <name val="Calibri"/>
      <family val="2"/>
      <scheme val="minor"/>
    </font>
    <font>
      <sz val="11"/>
      <color theme="1"/>
      <name val="Calibri"/>
      <family val="2"/>
      <scheme val="minor"/>
    </font>
    <font>
      <b/>
      <sz val="10"/>
      <color theme="1"/>
      <name val="Calibri"/>
      <family val="2"/>
      <scheme val="minor"/>
    </font>
    <font>
      <b/>
      <sz val="12"/>
      <color rgb="FF000000"/>
      <name val="Arial"/>
      <family val="2"/>
    </font>
    <font>
      <sz val="12"/>
      <color theme="1"/>
      <name val="Calibri"/>
      <family val="2"/>
      <scheme val="minor"/>
    </font>
    <font>
      <b/>
      <sz val="11"/>
      <color theme="1"/>
      <name val="Calibri"/>
      <family val="2"/>
      <scheme val="minor"/>
    </font>
    <font>
      <b/>
      <sz val="11"/>
      <color rgb="FFFFFF00"/>
      <name val="Calibri"/>
      <family val="2"/>
      <scheme val="minor"/>
    </font>
    <font>
      <b/>
      <sz val="12"/>
      <color theme="0"/>
      <name val="Arial"/>
      <family val="2"/>
    </font>
    <font>
      <b/>
      <sz val="12"/>
      <color theme="1"/>
      <name val="Calibri"/>
      <family val="2"/>
      <scheme val="minor"/>
    </font>
    <font>
      <b/>
      <sz val="14"/>
      <color theme="1"/>
      <name val="Calibri"/>
      <family val="2"/>
      <scheme val="minor"/>
    </font>
    <font>
      <b/>
      <sz val="12"/>
      <color theme="1"/>
      <name val="Arial"/>
      <family val="2"/>
    </font>
    <font>
      <b/>
      <sz val="22"/>
      <name val="Aptos"/>
      <family val="2"/>
    </font>
    <font>
      <b/>
      <sz val="18"/>
      <color theme="1"/>
      <name val="Aptos"/>
      <family val="2"/>
    </font>
    <font>
      <b/>
      <sz val="14"/>
      <color theme="1"/>
      <name val="Aptos"/>
      <family val="2"/>
    </font>
    <font>
      <sz val="13"/>
      <color theme="1"/>
      <name val="Aptos"/>
      <family val="2"/>
    </font>
    <font>
      <b/>
      <sz val="13"/>
      <color theme="1"/>
      <name val="Aptos"/>
      <family val="2"/>
    </font>
    <font>
      <b/>
      <sz val="13"/>
      <color rgb="FFFF0000"/>
      <name val="Aptos"/>
      <family val="2"/>
    </font>
    <font>
      <b/>
      <i/>
      <sz val="13"/>
      <color theme="1"/>
      <name val="Aptos"/>
      <family val="2"/>
    </font>
    <font>
      <b/>
      <sz val="26"/>
      <name val="Aptos"/>
      <family val="2"/>
    </font>
    <font>
      <b/>
      <sz val="18"/>
      <color rgb="FF176FF6"/>
      <name val="Arial"/>
      <family val="2"/>
    </font>
    <font>
      <sz val="16"/>
      <color theme="1"/>
      <name val="Calibri"/>
      <family val="2"/>
      <scheme val="minor"/>
    </font>
    <font>
      <b/>
      <sz val="13"/>
      <name val="Aptos"/>
      <family val="2"/>
    </font>
    <font>
      <b/>
      <sz val="13"/>
      <color rgb="FF0070C0"/>
      <name val="Aptos"/>
      <family val="2"/>
    </font>
    <font>
      <sz val="8"/>
      <name val="Calibri"/>
      <family val="2"/>
      <scheme val="minor"/>
    </font>
    <font>
      <b/>
      <sz val="18"/>
      <color theme="0"/>
      <name val="Arial"/>
      <family val="2"/>
    </font>
    <font>
      <b/>
      <sz val="14"/>
      <color theme="0"/>
      <name val="Calibri"/>
      <family val="2"/>
      <scheme val="minor"/>
    </font>
    <font>
      <b/>
      <sz val="18"/>
      <name val="Calibri"/>
      <family val="2"/>
      <scheme val="minor"/>
    </font>
    <font>
      <b/>
      <sz val="16"/>
      <color theme="1"/>
      <name val="Aptos"/>
      <family val="2"/>
    </font>
    <font>
      <b/>
      <sz val="10"/>
      <color theme="1"/>
      <name val="Aptos"/>
      <family val="2"/>
    </font>
    <font>
      <sz val="11"/>
      <color theme="1"/>
      <name val="Aptos"/>
      <family val="2"/>
    </font>
    <font>
      <b/>
      <sz val="11"/>
      <color theme="1"/>
      <name val="Aptos"/>
      <family val="2"/>
    </font>
    <font>
      <sz val="10"/>
      <color theme="1"/>
      <name val="Aptos"/>
      <family val="2"/>
    </font>
    <font>
      <b/>
      <sz val="10"/>
      <color theme="1"/>
      <name val="APT0S"/>
    </font>
    <font>
      <b/>
      <sz val="12"/>
      <color theme="1"/>
      <name val="APT0S"/>
    </font>
    <font>
      <sz val="12"/>
      <color rgb="FF000000"/>
      <name val="APT0S"/>
    </font>
    <font>
      <sz val="12"/>
      <color theme="1"/>
      <name val="APT0S"/>
    </font>
    <font>
      <b/>
      <sz val="22"/>
      <color theme="0"/>
      <name val="Aptos"/>
      <family val="2"/>
    </font>
    <font>
      <b/>
      <sz val="20"/>
      <name val="Aptos"/>
      <family val="2"/>
    </font>
    <font>
      <sz val="12"/>
      <color rgb="FF000000"/>
      <name val="Aptos"/>
      <family val="2"/>
    </font>
    <font>
      <b/>
      <sz val="14"/>
      <color theme="0"/>
      <name val="Aptos"/>
      <family val="2"/>
    </font>
    <font>
      <b/>
      <sz val="24"/>
      <color theme="1"/>
      <name val="Aptos"/>
      <family val="2"/>
    </font>
    <font>
      <b/>
      <sz val="24"/>
      <color theme="0"/>
      <name val="Aptos"/>
      <family val="2"/>
    </font>
    <font>
      <b/>
      <sz val="24"/>
      <name val="Aptos"/>
      <family val="2"/>
    </font>
    <font>
      <b/>
      <sz val="20"/>
      <color theme="0"/>
      <name val="Aptos"/>
      <family val="2"/>
    </font>
    <font>
      <b/>
      <sz val="24"/>
      <name val="APT0S"/>
    </font>
    <font>
      <b/>
      <sz val="20"/>
      <color theme="0"/>
      <name val="APT0S"/>
    </font>
    <font>
      <b/>
      <sz val="18"/>
      <color theme="1"/>
      <name val="APT0S"/>
    </font>
    <font>
      <b/>
      <sz val="24"/>
      <name val="Calibri"/>
      <family val="2"/>
      <scheme val="minor"/>
    </font>
    <font>
      <b/>
      <sz val="14"/>
      <color rgb="FF000000"/>
      <name val="Aptos"/>
      <family val="2"/>
    </font>
    <font>
      <b/>
      <sz val="14"/>
      <name val="Aptos"/>
      <family val="2"/>
    </font>
    <font>
      <b/>
      <sz val="22"/>
      <name val="APT0S"/>
    </font>
    <font>
      <b/>
      <sz val="16"/>
      <name val="APT0S"/>
    </font>
    <font>
      <b/>
      <i/>
      <sz val="12"/>
      <name val="APT0S"/>
    </font>
    <font>
      <b/>
      <i/>
      <sz val="12"/>
      <color theme="1"/>
      <name val="APT0S"/>
    </font>
    <font>
      <b/>
      <sz val="18"/>
      <name val="Arial"/>
      <family val="2"/>
    </font>
    <font>
      <b/>
      <sz val="14"/>
      <name val="Arial"/>
      <family val="2"/>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9" tint="0.39997558519241921"/>
        <bgColor indexed="64"/>
      </patternFill>
    </fill>
    <fill>
      <patternFill patternType="solid">
        <fgColor theme="8" tint="0.79998168889431442"/>
        <bgColor indexed="64"/>
      </patternFill>
    </fill>
  </fills>
  <borders count="6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bottom/>
      <diagonal/>
    </border>
    <border>
      <left/>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double">
        <color theme="9" tint="-0.499984740745262"/>
      </left>
      <right style="double">
        <color theme="9" tint="-0.499984740745262"/>
      </right>
      <top style="double">
        <color theme="9" tint="-0.499984740745262"/>
      </top>
      <bottom style="double">
        <color theme="9" tint="-0.499984740745262"/>
      </bottom>
      <diagonal/>
    </border>
    <border>
      <left style="double">
        <color theme="9" tint="-0.499984740745262"/>
      </left>
      <right style="double">
        <color theme="9" tint="-0.499984740745262"/>
      </right>
      <top style="double">
        <color theme="9" tint="-0.499984740745262"/>
      </top>
      <bottom/>
      <diagonal/>
    </border>
    <border>
      <left style="double">
        <color theme="9" tint="-0.499984740745262"/>
      </left>
      <right style="double">
        <color theme="9" tint="-0.499984740745262"/>
      </right>
      <top/>
      <bottom/>
      <diagonal/>
    </border>
    <border>
      <left style="double">
        <color theme="9" tint="-0.499984740745262"/>
      </left>
      <right style="double">
        <color theme="9" tint="-0.499984740745262"/>
      </right>
      <top/>
      <bottom style="double">
        <color theme="9" tint="-0.499984740745262"/>
      </bottom>
      <diagonal/>
    </border>
  </borders>
  <cellStyleXfs count="2">
    <xf numFmtId="0" fontId="0" fillId="0" borderId="0"/>
    <xf numFmtId="43" fontId="1" fillId="0" borderId="0" applyFont="0" applyFill="0" applyBorder="0" applyAlignment="0" applyProtection="0"/>
  </cellStyleXfs>
  <cellXfs count="380">
    <xf numFmtId="0" fontId="0" fillId="0" borderId="0" xfId="0"/>
    <xf numFmtId="0" fontId="0" fillId="0" borderId="0" xfId="0" applyAlignment="1">
      <alignment horizontal="center"/>
    </xf>
    <xf numFmtId="0" fontId="0" fillId="3" borderId="0" xfId="0" applyFill="1"/>
    <xf numFmtId="0" fontId="0" fillId="3" borderId="17" xfId="0" applyFill="1" applyBorder="1" applyAlignment="1">
      <alignment horizontal="center" vertical="center"/>
    </xf>
    <xf numFmtId="0" fontId="0" fillId="3" borderId="13" xfId="0" applyFill="1" applyBorder="1" applyAlignment="1">
      <alignment horizontal="center" vertical="center"/>
    </xf>
    <xf numFmtId="0" fontId="0" fillId="3" borderId="18" xfId="0" applyFill="1"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3" borderId="16" xfId="0" applyFill="1" applyBorder="1" applyAlignment="1">
      <alignment horizontal="center" vertical="center"/>
    </xf>
    <xf numFmtId="49" fontId="3" fillId="3" borderId="0" xfId="0" applyNumberFormat="1" applyFont="1" applyFill="1" applyAlignment="1">
      <alignment vertical="center"/>
    </xf>
    <xf numFmtId="0" fontId="9" fillId="3" borderId="0" xfId="0" applyFont="1" applyFill="1" applyAlignment="1">
      <alignment horizontal="center" vertical="center"/>
    </xf>
    <xf numFmtId="0" fontId="0" fillId="5" borderId="21" xfId="0" applyFill="1" applyBorder="1" applyAlignment="1">
      <alignment horizontal="center" vertical="center"/>
    </xf>
    <xf numFmtId="0" fontId="0" fillId="0" borderId="20" xfId="0" applyBorder="1" applyAlignment="1">
      <alignment horizontal="center" vertical="center"/>
    </xf>
    <xf numFmtId="0" fontId="0" fillId="0" borderId="16" xfId="0" applyBorder="1" applyAlignment="1">
      <alignment horizontal="center" vertical="center"/>
    </xf>
    <xf numFmtId="0" fontId="0" fillId="3" borderId="26" xfId="0" applyFill="1" applyBorder="1" applyAlignment="1">
      <alignment horizontal="center" vertical="center"/>
    </xf>
    <xf numFmtId="0" fontId="0" fillId="0" borderId="13" xfId="0" applyBorder="1" applyAlignment="1">
      <alignment horizontal="center" vertical="center"/>
    </xf>
    <xf numFmtId="0" fontId="0" fillId="0" borderId="18" xfId="0" applyBorder="1" applyAlignment="1">
      <alignment horizontal="center" vertical="center"/>
    </xf>
    <xf numFmtId="0" fontId="0" fillId="2" borderId="21" xfId="0" applyFill="1" applyBorder="1" applyAlignment="1">
      <alignment horizontal="center" vertical="center"/>
    </xf>
    <xf numFmtId="0" fontId="14" fillId="0" borderId="17" xfId="0" applyFont="1" applyBorder="1" applyAlignment="1">
      <alignment horizontal="center" vertical="center"/>
    </xf>
    <xf numFmtId="0" fontId="15" fillId="0" borderId="13" xfId="0" applyFont="1" applyBorder="1" applyAlignment="1">
      <alignment vertical="center" wrapText="1"/>
    </xf>
    <xf numFmtId="0" fontId="14" fillId="3" borderId="17" xfId="0" applyFont="1" applyFill="1" applyBorder="1" applyAlignment="1">
      <alignment horizontal="center" vertical="center"/>
    </xf>
    <xf numFmtId="0" fontId="15" fillId="3" borderId="13" xfId="0" applyFont="1" applyFill="1" applyBorder="1" applyAlignment="1">
      <alignment vertical="center" wrapText="1"/>
    </xf>
    <xf numFmtId="0" fontId="14" fillId="0" borderId="18" xfId="0" applyFont="1" applyBorder="1" applyAlignment="1">
      <alignment horizontal="center" vertical="center"/>
    </xf>
    <xf numFmtId="0" fontId="15" fillId="0" borderId="13" xfId="0" applyFont="1" applyBorder="1" applyAlignment="1">
      <alignment vertical="center"/>
    </xf>
    <xf numFmtId="0" fontId="0" fillId="2" borderId="13" xfId="0" applyFill="1" applyBorder="1" applyAlignment="1">
      <alignment horizontal="center" vertical="center"/>
    </xf>
    <xf numFmtId="0" fontId="0" fillId="0" borderId="15" xfId="0"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4" fillId="0" borderId="14" xfId="0" applyFont="1" applyBorder="1" applyAlignment="1">
      <alignment horizontal="center" vertical="center"/>
    </xf>
    <xf numFmtId="0" fontId="15" fillId="0" borderId="15" xfId="0" applyFont="1" applyBorder="1" applyAlignment="1">
      <alignment vertical="center"/>
    </xf>
    <xf numFmtId="0" fontId="14" fillId="0" borderId="44" xfId="0" applyFont="1" applyBorder="1" applyAlignment="1">
      <alignment horizontal="center" vertical="center"/>
    </xf>
    <xf numFmtId="0" fontId="14" fillId="3" borderId="28" xfId="0" applyFont="1" applyFill="1" applyBorder="1" applyAlignment="1">
      <alignment horizontal="center" vertical="center"/>
    </xf>
    <xf numFmtId="0" fontId="15" fillId="3" borderId="27" xfId="0" applyFont="1" applyFill="1" applyBorder="1" applyAlignment="1">
      <alignment vertical="center" wrapText="1"/>
    </xf>
    <xf numFmtId="0" fontId="14" fillId="0" borderId="36" xfId="0" applyFont="1" applyBorder="1" applyAlignment="1">
      <alignment horizontal="center" vertical="center"/>
    </xf>
    <xf numFmtId="0" fontId="5" fillId="4" borderId="54" xfId="0" applyFont="1" applyFill="1" applyBorder="1" applyAlignment="1">
      <alignment horizontal="center" vertical="center"/>
    </xf>
    <xf numFmtId="0" fontId="5" fillId="4" borderId="55" xfId="0" applyFont="1" applyFill="1" applyBorder="1" applyAlignment="1">
      <alignment horizontal="center" vertical="center"/>
    </xf>
    <xf numFmtId="0" fontId="19" fillId="0" borderId="0" xfId="0" applyFont="1"/>
    <xf numFmtId="0" fontId="5" fillId="3" borderId="14" xfId="0" applyFont="1" applyFill="1" applyBorder="1" applyAlignment="1">
      <alignment horizontal="center" vertical="center"/>
    </xf>
    <xf numFmtId="0" fontId="0" fillId="3" borderId="15" xfId="0" applyFill="1" applyBorder="1" applyAlignment="1">
      <alignment horizontal="center" vertical="center"/>
    </xf>
    <xf numFmtId="0" fontId="2" fillId="3" borderId="0" xfId="0" applyFont="1" applyFill="1" applyAlignment="1">
      <alignment horizontal="center" vertic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2" borderId="17" xfId="0" applyFill="1" applyBorder="1" applyAlignment="1">
      <alignment horizontal="center" vertical="center"/>
    </xf>
    <xf numFmtId="0" fontId="0" fillId="8" borderId="17" xfId="0" applyFill="1" applyBorder="1" applyAlignment="1">
      <alignment horizontal="center" vertical="center"/>
    </xf>
    <xf numFmtId="0" fontId="0" fillId="8" borderId="13" xfId="0" applyFill="1" applyBorder="1" applyAlignment="1">
      <alignment horizontal="center" vertical="center"/>
    </xf>
    <xf numFmtId="0" fontId="0" fillId="0" borderId="7" xfId="0" applyBorder="1"/>
    <xf numFmtId="0" fontId="5" fillId="3" borderId="13" xfId="0" applyFont="1" applyFill="1" applyBorder="1" applyAlignment="1">
      <alignment horizontal="left" vertical="center"/>
    </xf>
    <xf numFmtId="0" fontId="5" fillId="3" borderId="13" xfId="0" applyFont="1" applyFill="1" applyBorder="1" applyAlignment="1">
      <alignment horizontal="center" vertical="center"/>
    </xf>
    <xf numFmtId="0" fontId="20" fillId="0" borderId="0" xfId="0" applyFont="1"/>
    <xf numFmtId="0" fontId="15" fillId="0" borderId="45" xfId="0" applyFont="1" applyBorder="1" applyAlignment="1">
      <alignment vertical="center"/>
    </xf>
    <xf numFmtId="0" fontId="14" fillId="0" borderId="50" xfId="0" applyFont="1" applyBorder="1" applyAlignment="1">
      <alignment horizontal="center" vertical="center"/>
    </xf>
    <xf numFmtId="0" fontId="14" fillId="3" borderId="14" xfId="0" applyFont="1" applyFill="1" applyBorder="1" applyAlignment="1">
      <alignment horizontal="center" vertical="center"/>
    </xf>
    <xf numFmtId="0" fontId="15" fillId="3" borderId="15" xfId="0" applyFont="1" applyFill="1" applyBorder="1" applyAlignment="1">
      <alignment vertical="center"/>
    </xf>
    <xf numFmtId="0" fontId="14" fillId="3" borderId="16" xfId="0" applyFont="1" applyFill="1" applyBorder="1" applyAlignment="1">
      <alignment horizontal="center" vertical="center"/>
    </xf>
    <xf numFmtId="0" fontId="14" fillId="3" borderId="1" xfId="0" applyFont="1" applyFill="1" applyBorder="1" applyAlignment="1">
      <alignment horizontal="center" vertical="center"/>
    </xf>
    <xf numFmtId="0" fontId="15" fillId="0" borderId="2" xfId="0" applyFont="1" applyBorder="1" applyAlignment="1">
      <alignment horizontal="left" vertical="center" wrapText="1"/>
    </xf>
    <xf numFmtId="0" fontId="15" fillId="0" borderId="2" xfId="0" applyFont="1" applyBorder="1" applyAlignment="1">
      <alignment vertical="center" wrapText="1"/>
    </xf>
    <xf numFmtId="0" fontId="15" fillId="3" borderId="2" xfId="0" applyFont="1" applyFill="1" applyBorder="1" applyAlignment="1">
      <alignment vertical="center" wrapText="1"/>
    </xf>
    <xf numFmtId="0" fontId="15" fillId="3" borderId="13" xfId="0" applyFont="1" applyFill="1" applyBorder="1" applyAlignment="1">
      <alignment horizontal="left" vertical="center" wrapText="1"/>
    </xf>
    <xf numFmtId="0" fontId="0" fillId="3" borderId="19"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3" borderId="44" xfId="0" applyFill="1" applyBorder="1" applyAlignment="1">
      <alignment horizontal="center" vertical="center"/>
    </xf>
    <xf numFmtId="0" fontId="0" fillId="3" borderId="45" xfId="0" applyFill="1" applyBorder="1" applyAlignment="1">
      <alignment horizontal="center" vertical="center"/>
    </xf>
    <xf numFmtId="0" fontId="0" fillId="3" borderId="20" xfId="0" applyFill="1" applyBorder="1" applyAlignment="1">
      <alignment horizontal="center" vertical="center"/>
    </xf>
    <xf numFmtId="0" fontId="14" fillId="0" borderId="19" xfId="0" applyFont="1" applyBorder="1" applyAlignment="1">
      <alignment horizontal="center" vertical="center"/>
    </xf>
    <xf numFmtId="0" fontId="15" fillId="0" borderId="20" xfId="0" applyFont="1" applyBorder="1" applyAlignment="1">
      <alignment horizontal="left" vertical="center"/>
    </xf>
    <xf numFmtId="49" fontId="27" fillId="7" borderId="4" xfId="0" applyNumberFormat="1" applyFont="1" applyFill="1" applyBorder="1" applyAlignment="1">
      <alignment horizontal="center" vertical="center" wrapText="1"/>
    </xf>
    <xf numFmtId="0" fontId="30" fillId="4" borderId="17" xfId="0" applyFont="1" applyFill="1" applyBorder="1" applyAlignment="1">
      <alignment horizontal="center" vertical="center"/>
    </xf>
    <xf numFmtId="0" fontId="29" fillId="3" borderId="17" xfId="0" applyFont="1" applyFill="1" applyBorder="1" applyAlignment="1">
      <alignment horizontal="center" vertical="center"/>
    </xf>
    <xf numFmtId="0" fontId="29" fillId="3" borderId="19" xfId="0" applyFont="1" applyFill="1" applyBorder="1" applyAlignment="1">
      <alignment horizontal="center" vertical="center"/>
    </xf>
    <xf numFmtId="0" fontId="31" fillId="3" borderId="14" xfId="0" applyFont="1" applyFill="1" applyBorder="1" applyAlignment="1">
      <alignment horizontal="center" vertical="center"/>
    </xf>
    <xf numFmtId="0" fontId="31" fillId="0" borderId="16" xfId="0" applyFont="1" applyBorder="1" applyAlignment="1">
      <alignment horizontal="center" vertical="center"/>
    </xf>
    <xf numFmtId="0" fontId="31" fillId="3" borderId="17" xfId="0" applyFont="1" applyFill="1" applyBorder="1" applyAlignment="1">
      <alignment horizontal="center" vertical="center"/>
    </xf>
    <xf numFmtId="0" fontId="31" fillId="0" borderId="18" xfId="0" applyFont="1" applyBorder="1" applyAlignment="1">
      <alignment horizontal="center" vertical="center"/>
    </xf>
    <xf numFmtId="0" fontId="31" fillId="3" borderId="19" xfId="0" applyFont="1" applyFill="1" applyBorder="1" applyAlignment="1">
      <alignment horizontal="center" vertical="center"/>
    </xf>
    <xf numFmtId="0" fontId="31" fillId="0" borderId="21" xfId="0" applyFont="1" applyBorder="1" applyAlignment="1">
      <alignment horizontal="center" vertical="center"/>
    </xf>
    <xf numFmtId="49" fontId="34" fillId="0" borderId="1" xfId="0" applyNumberFormat="1" applyFont="1" applyBorder="1" applyAlignment="1">
      <alignment horizontal="center" vertical="center"/>
    </xf>
    <xf numFmtId="49" fontId="34" fillId="0" borderId="2" xfId="0" applyNumberFormat="1" applyFont="1" applyBorder="1" applyAlignment="1">
      <alignment horizontal="center" vertical="center"/>
    </xf>
    <xf numFmtId="49" fontId="34" fillId="0" borderId="3" xfId="0" applyNumberFormat="1" applyFont="1" applyBorder="1" applyAlignment="1">
      <alignment horizontal="center" vertical="center"/>
    </xf>
    <xf numFmtId="1" fontId="34" fillId="0" borderId="28" xfId="0" applyNumberFormat="1" applyFont="1" applyBorder="1" applyAlignment="1">
      <alignment horizontal="center" vertical="center"/>
    </xf>
    <xf numFmtId="49" fontId="34" fillId="0" borderId="27" xfId="0" applyNumberFormat="1" applyFont="1" applyBorder="1" applyAlignment="1">
      <alignment horizontal="center" vertical="center"/>
    </xf>
    <xf numFmtId="164" fontId="34" fillId="0" borderId="27" xfId="0" applyNumberFormat="1" applyFont="1" applyBorder="1" applyAlignment="1">
      <alignment horizontal="center" vertical="center"/>
    </xf>
    <xf numFmtId="1" fontId="34" fillId="0" borderId="27" xfId="0" applyNumberFormat="1" applyFont="1" applyBorder="1" applyAlignment="1">
      <alignment horizontal="center" vertical="center"/>
    </xf>
    <xf numFmtId="1" fontId="34" fillId="0" borderId="27" xfId="0" applyNumberFormat="1" applyFont="1" applyBorder="1" applyAlignment="1">
      <alignment horizontal="center"/>
    </xf>
    <xf numFmtId="0" fontId="33" fillId="3" borderId="33" xfId="0" applyFont="1" applyFill="1" applyBorder="1" applyAlignment="1">
      <alignment horizontal="center" vertical="center"/>
    </xf>
    <xf numFmtId="0" fontId="35" fillId="3" borderId="27" xfId="0" applyFont="1" applyFill="1" applyBorder="1" applyAlignment="1">
      <alignment horizontal="center" vertical="center"/>
    </xf>
    <xf numFmtId="49" fontId="34" fillId="3" borderId="27" xfId="0" applyNumberFormat="1" applyFont="1" applyFill="1" applyBorder="1" applyAlignment="1">
      <alignment horizontal="center" vertical="center"/>
    </xf>
    <xf numFmtId="0" fontId="35" fillId="3" borderId="41" xfId="0" applyFont="1" applyFill="1" applyBorder="1" applyAlignment="1">
      <alignment horizontal="center"/>
    </xf>
    <xf numFmtId="0" fontId="35" fillId="3" borderId="27" xfId="0" applyFont="1" applyFill="1" applyBorder="1" applyAlignment="1">
      <alignment horizontal="center"/>
    </xf>
    <xf numFmtId="49" fontId="34" fillId="3" borderId="27" xfId="0" applyNumberFormat="1" applyFont="1" applyFill="1" applyBorder="1" applyAlignment="1">
      <alignment horizontal="center"/>
    </xf>
    <xf numFmtId="0" fontId="33" fillId="3" borderId="36" xfId="0" applyFont="1" applyFill="1" applyBorder="1" applyAlignment="1">
      <alignment horizontal="center" vertical="center"/>
    </xf>
    <xf numFmtId="1" fontId="34" fillId="0" borderId="17" xfId="0" applyNumberFormat="1" applyFont="1" applyBorder="1" applyAlignment="1">
      <alignment horizontal="center" vertical="center"/>
    </xf>
    <xf numFmtId="49" fontId="34" fillId="0" borderId="13" xfId="0" applyNumberFormat="1" applyFont="1" applyBorder="1" applyAlignment="1">
      <alignment horizontal="center" vertical="center"/>
    </xf>
    <xf numFmtId="164" fontId="34" fillId="0" borderId="13" xfId="0" applyNumberFormat="1" applyFont="1" applyBorder="1" applyAlignment="1">
      <alignment horizontal="center" vertical="center"/>
    </xf>
    <xf numFmtId="1" fontId="34" fillId="0" borderId="13" xfId="0" applyNumberFormat="1" applyFont="1" applyBorder="1" applyAlignment="1">
      <alignment horizontal="center" vertical="center"/>
    </xf>
    <xf numFmtId="1" fontId="34" fillId="0" borderId="13" xfId="0" applyNumberFormat="1" applyFont="1" applyBorder="1" applyAlignment="1">
      <alignment horizontal="center"/>
    </xf>
    <xf numFmtId="0" fontId="33" fillId="3" borderId="25" xfId="0" applyFont="1" applyFill="1" applyBorder="1" applyAlignment="1">
      <alignment horizontal="center" vertical="center"/>
    </xf>
    <xf numFmtId="0" fontId="35" fillId="3" borderId="13" xfId="0" applyFont="1" applyFill="1" applyBorder="1" applyAlignment="1">
      <alignment horizontal="center" vertical="center"/>
    </xf>
    <xf numFmtId="49" fontId="34" fillId="3" borderId="13" xfId="0" applyNumberFormat="1" applyFont="1" applyFill="1" applyBorder="1" applyAlignment="1">
      <alignment horizontal="center" vertical="center"/>
    </xf>
    <xf numFmtId="0" fontId="35" fillId="3" borderId="38" xfId="0" applyFont="1" applyFill="1" applyBorder="1" applyAlignment="1">
      <alignment horizontal="center"/>
    </xf>
    <xf numFmtId="0" fontId="35" fillId="3" borderId="13" xfId="0" applyFont="1" applyFill="1" applyBorder="1" applyAlignment="1">
      <alignment horizontal="center"/>
    </xf>
    <xf numFmtId="49" fontId="34" fillId="3" borderId="13" xfId="0" applyNumberFormat="1" applyFont="1" applyFill="1" applyBorder="1" applyAlignment="1">
      <alignment horizontal="center"/>
    </xf>
    <xf numFmtId="0" fontId="33" fillId="3" borderId="18" xfId="0" applyFont="1" applyFill="1" applyBorder="1" applyAlignment="1">
      <alignment horizontal="center" vertical="center"/>
    </xf>
    <xf numFmtId="0" fontId="35" fillId="0" borderId="13" xfId="0" applyFont="1" applyBorder="1" applyAlignment="1">
      <alignment horizontal="center" vertical="center"/>
    </xf>
    <xf numFmtId="0" fontId="35" fillId="0" borderId="13" xfId="0" applyFont="1" applyBorder="1"/>
    <xf numFmtId="1" fontId="34" fillId="0" borderId="19" xfId="0" applyNumberFormat="1" applyFont="1" applyBorder="1" applyAlignment="1">
      <alignment horizontal="center" vertical="center"/>
    </xf>
    <xf numFmtId="49" fontId="34" fillId="0" borderId="20" xfId="0" applyNumberFormat="1" applyFont="1" applyBorder="1" applyAlignment="1">
      <alignment horizontal="center" vertical="center"/>
    </xf>
    <xf numFmtId="164" fontId="34" fillId="0" borderId="20" xfId="0" applyNumberFormat="1" applyFont="1" applyBorder="1" applyAlignment="1">
      <alignment horizontal="center" vertical="center"/>
    </xf>
    <xf numFmtId="0" fontId="35" fillId="0" borderId="20" xfId="0" applyFont="1" applyBorder="1" applyAlignment="1">
      <alignment horizontal="center" vertical="center"/>
    </xf>
    <xf numFmtId="0" fontId="35" fillId="0" borderId="20" xfId="0" applyFont="1" applyBorder="1"/>
    <xf numFmtId="0" fontId="33" fillId="3" borderId="30" xfId="0" applyFont="1" applyFill="1" applyBorder="1" applyAlignment="1">
      <alignment horizontal="center" vertical="center"/>
    </xf>
    <xf numFmtId="0" fontId="35" fillId="3" borderId="20" xfId="0" applyFont="1" applyFill="1" applyBorder="1" applyAlignment="1">
      <alignment horizontal="center" vertical="center"/>
    </xf>
    <xf numFmtId="49" fontId="34" fillId="3" borderId="20" xfId="0" applyNumberFormat="1" applyFont="1" applyFill="1" applyBorder="1" applyAlignment="1">
      <alignment horizontal="center" vertical="center"/>
    </xf>
    <xf numFmtId="0" fontId="35" fillId="3" borderId="40" xfId="0" applyFont="1" applyFill="1" applyBorder="1" applyAlignment="1">
      <alignment horizontal="center"/>
    </xf>
    <xf numFmtId="0" fontId="35" fillId="3" borderId="20" xfId="0" applyFont="1" applyFill="1" applyBorder="1" applyAlignment="1">
      <alignment horizontal="center"/>
    </xf>
    <xf numFmtId="49" fontId="34" fillId="3" borderId="20" xfId="0" applyNumberFormat="1" applyFont="1" applyFill="1" applyBorder="1" applyAlignment="1">
      <alignment horizontal="center"/>
    </xf>
    <xf numFmtId="0" fontId="33" fillId="3" borderId="21" xfId="0" applyFont="1" applyFill="1" applyBorder="1" applyAlignment="1">
      <alignment horizontal="center" vertical="center"/>
    </xf>
    <xf numFmtId="1" fontId="34" fillId="0" borderId="14" xfId="0" applyNumberFormat="1" applyFont="1" applyBorder="1" applyAlignment="1">
      <alignment horizontal="center" vertical="center"/>
    </xf>
    <xf numFmtId="49" fontId="34" fillId="0" borderId="15" xfId="0" applyNumberFormat="1" applyFont="1" applyBorder="1" applyAlignment="1">
      <alignment horizontal="center" vertical="center"/>
    </xf>
    <xf numFmtId="164" fontId="34" fillId="0" borderId="15" xfId="0" applyNumberFormat="1" applyFont="1" applyBorder="1" applyAlignment="1">
      <alignment horizontal="center" vertical="center"/>
    </xf>
    <xf numFmtId="0" fontId="35" fillId="0" borderId="15" xfId="0" applyFont="1" applyBorder="1" applyAlignment="1">
      <alignment horizontal="center" vertical="center"/>
    </xf>
    <xf numFmtId="0" fontId="35" fillId="0" borderId="15" xfId="0" applyFont="1" applyBorder="1"/>
    <xf numFmtId="0" fontId="35" fillId="3" borderId="15" xfId="0" applyFont="1" applyFill="1" applyBorder="1" applyAlignment="1">
      <alignment horizontal="center" vertical="center"/>
    </xf>
    <xf numFmtId="0" fontId="35" fillId="3" borderId="26" xfId="0" applyFont="1" applyFill="1" applyBorder="1" applyAlignment="1">
      <alignment horizontal="center" vertical="center"/>
    </xf>
    <xf numFmtId="49" fontId="34" fillId="3" borderId="15" xfId="0" applyNumberFormat="1" applyFont="1" applyFill="1" applyBorder="1" applyAlignment="1">
      <alignment horizontal="center" vertical="center"/>
    </xf>
    <xf numFmtId="0" fontId="35" fillId="3" borderId="40" xfId="0" applyFont="1" applyFill="1" applyBorder="1" applyAlignment="1">
      <alignment horizontal="center" vertical="center"/>
    </xf>
    <xf numFmtId="1" fontId="34" fillId="0" borderId="1" xfId="0" applyNumberFormat="1" applyFont="1" applyBorder="1" applyAlignment="1">
      <alignment horizontal="center" vertical="center"/>
    </xf>
    <xf numFmtId="164" fontId="34" fillId="0" borderId="2" xfId="0" applyNumberFormat="1" applyFont="1" applyBorder="1" applyAlignment="1">
      <alignment horizontal="center" vertical="center"/>
    </xf>
    <xf numFmtId="0" fontId="35" fillId="0" borderId="2" xfId="0" applyFont="1" applyBorder="1" applyAlignment="1">
      <alignment horizontal="center" vertical="center"/>
    </xf>
    <xf numFmtId="0" fontId="35" fillId="0" borderId="32" xfId="0" applyFont="1" applyBorder="1"/>
    <xf numFmtId="0" fontId="35" fillId="3" borderId="35" xfId="0" applyFont="1" applyFill="1" applyBorder="1" applyAlignment="1">
      <alignment horizontal="center" vertical="center"/>
    </xf>
    <xf numFmtId="0" fontId="35" fillId="3" borderId="35" xfId="0" applyFont="1" applyFill="1" applyBorder="1" applyAlignment="1">
      <alignment vertical="center"/>
    </xf>
    <xf numFmtId="0" fontId="35" fillId="3" borderId="2" xfId="0" applyFont="1" applyFill="1" applyBorder="1" applyAlignment="1">
      <alignment vertical="center"/>
    </xf>
    <xf numFmtId="0" fontId="35" fillId="3" borderId="2" xfId="0" applyFont="1" applyFill="1" applyBorder="1" applyAlignment="1">
      <alignment horizontal="center" vertical="center"/>
    </xf>
    <xf numFmtId="0" fontId="35" fillId="3" borderId="2" xfId="0" applyFont="1" applyFill="1" applyBorder="1"/>
    <xf numFmtId="49" fontId="34" fillId="3" borderId="32" xfId="0" applyNumberFormat="1" applyFont="1" applyFill="1" applyBorder="1"/>
    <xf numFmtId="49" fontId="27" fillId="3" borderId="4" xfId="0" applyNumberFormat="1" applyFont="1" applyFill="1" applyBorder="1" applyAlignment="1">
      <alignment horizontal="center" vertical="center" wrapText="1"/>
    </xf>
    <xf numFmtId="0" fontId="5" fillId="2" borderId="13" xfId="0" applyFont="1" applyFill="1" applyBorder="1" applyAlignment="1">
      <alignment horizontal="center" vertical="center"/>
    </xf>
    <xf numFmtId="0" fontId="0" fillId="0" borderId="0" xfId="0" applyAlignment="1">
      <alignment wrapText="1"/>
    </xf>
    <xf numFmtId="0" fontId="28" fillId="4" borderId="1" xfId="0" applyFont="1" applyFill="1" applyBorder="1" applyAlignment="1">
      <alignment horizontal="center" vertical="center"/>
    </xf>
    <xf numFmtId="0" fontId="28" fillId="4" borderId="2" xfId="0" applyFont="1" applyFill="1" applyBorder="1" applyAlignment="1">
      <alignment horizontal="center" vertical="center"/>
    </xf>
    <xf numFmtId="0" fontId="28" fillId="4" borderId="3" xfId="0" applyFont="1" applyFill="1" applyBorder="1" applyAlignment="1">
      <alignment horizontal="center" vertical="center"/>
    </xf>
    <xf numFmtId="0" fontId="5" fillId="3" borderId="15" xfId="0" applyFont="1" applyFill="1" applyBorder="1" applyAlignment="1">
      <alignment horizontal="left" vertical="center"/>
    </xf>
    <xf numFmtId="0" fontId="5" fillId="3" borderId="20" xfId="0" applyFont="1" applyFill="1" applyBorder="1" applyAlignment="1">
      <alignment horizontal="left" vertical="center"/>
    </xf>
    <xf numFmtId="0" fontId="28" fillId="4" borderId="54" xfId="0" applyFont="1" applyFill="1" applyBorder="1" applyAlignment="1">
      <alignment horizontal="center" vertical="center"/>
    </xf>
    <xf numFmtId="0" fontId="28" fillId="4" borderId="55" xfId="0" applyFont="1" applyFill="1" applyBorder="1" applyAlignment="1">
      <alignment horizontal="center" vertical="center"/>
    </xf>
    <xf numFmtId="0" fontId="28" fillId="4" borderId="56" xfId="0" applyFont="1" applyFill="1" applyBorder="1" applyAlignment="1">
      <alignment horizontal="center" vertical="center"/>
    </xf>
    <xf numFmtId="0" fontId="49" fillId="12" borderId="61" xfId="0" applyFont="1" applyFill="1" applyBorder="1" applyAlignment="1">
      <alignment horizontal="center" vertical="center" wrapText="1"/>
    </xf>
    <xf numFmtId="0" fontId="38" fillId="3" borderId="61" xfId="0" applyFont="1" applyFill="1" applyBorder="1" applyAlignment="1">
      <alignment horizontal="center" vertical="center" wrapText="1"/>
    </xf>
    <xf numFmtId="0" fontId="38" fillId="3" borderId="61" xfId="0" applyFont="1" applyFill="1" applyBorder="1" applyAlignment="1">
      <alignment horizontal="left" vertical="center" wrapText="1" indent="1"/>
    </xf>
    <xf numFmtId="0" fontId="48" fillId="3" borderId="61" xfId="0" applyFont="1" applyFill="1" applyBorder="1" applyAlignment="1">
      <alignment horizontal="center" vertical="center" wrapText="1"/>
    </xf>
    <xf numFmtId="0" fontId="38" fillId="8" borderId="61" xfId="0" applyFont="1" applyFill="1" applyBorder="1" applyAlignment="1">
      <alignment horizontal="center" vertical="center" wrapText="1"/>
    </xf>
    <xf numFmtId="0" fontId="38" fillId="8" borderId="61" xfId="0" applyFont="1" applyFill="1" applyBorder="1" applyAlignment="1">
      <alignment horizontal="left" vertical="center" wrapText="1" indent="1"/>
    </xf>
    <xf numFmtId="0" fontId="48" fillId="8" borderId="61" xfId="0" applyFont="1" applyFill="1" applyBorder="1" applyAlignment="1">
      <alignment horizontal="center" vertical="center" wrapText="1"/>
    </xf>
    <xf numFmtId="0" fontId="52" fillId="3" borderId="39" xfId="0" applyFont="1" applyFill="1" applyBorder="1" applyAlignment="1">
      <alignment horizontal="left" vertical="center" indent="1"/>
    </xf>
    <xf numFmtId="0" fontId="52" fillId="3" borderId="30" xfId="0" applyFont="1" applyFill="1" applyBorder="1" applyAlignment="1">
      <alignment horizontal="left" vertical="center" indent="1"/>
    </xf>
    <xf numFmtId="0" fontId="52" fillId="3" borderId="16" xfId="0" applyFont="1" applyFill="1" applyBorder="1" applyAlignment="1">
      <alignment horizontal="right" vertical="center" indent="1"/>
    </xf>
    <xf numFmtId="0" fontId="52" fillId="3" borderId="21" xfId="0" applyFont="1" applyFill="1" applyBorder="1" applyAlignment="1">
      <alignment horizontal="right" vertical="center" indent="1"/>
    </xf>
    <xf numFmtId="0" fontId="53" fillId="3" borderId="34" xfId="0" applyFont="1" applyFill="1" applyBorder="1" applyAlignment="1">
      <alignment horizontal="left" vertical="center" indent="1"/>
    </xf>
    <xf numFmtId="0" fontId="53" fillId="3" borderId="34" xfId="0" applyFont="1" applyFill="1" applyBorder="1" applyAlignment="1">
      <alignment horizontal="right" vertical="center" indent="1"/>
    </xf>
    <xf numFmtId="0" fontId="38" fillId="3" borderId="61" xfId="0" applyFont="1" applyFill="1" applyBorder="1" applyAlignment="1">
      <alignment horizontal="center" vertical="center" wrapText="1"/>
    </xf>
    <xf numFmtId="0" fontId="38" fillId="8" borderId="62" xfId="0" applyFont="1" applyFill="1" applyBorder="1" applyAlignment="1">
      <alignment horizontal="center" vertical="center" wrapText="1"/>
    </xf>
    <xf numFmtId="0" fontId="38" fillId="8" borderId="63" xfId="0" applyFont="1" applyFill="1" applyBorder="1" applyAlignment="1">
      <alignment horizontal="center" vertical="center" wrapText="1"/>
    </xf>
    <xf numFmtId="0" fontId="38" fillId="8" borderId="64" xfId="0" applyFont="1" applyFill="1" applyBorder="1" applyAlignment="1">
      <alignment horizontal="center" vertical="center" wrapText="1"/>
    </xf>
    <xf numFmtId="0" fontId="38" fillId="3" borderId="62" xfId="0" applyFont="1" applyFill="1" applyBorder="1" applyAlignment="1">
      <alignment horizontal="center" vertical="center" wrapText="1"/>
    </xf>
    <xf numFmtId="0" fontId="38" fillId="3" borderId="63" xfId="0" applyFont="1" applyFill="1" applyBorder="1" applyAlignment="1">
      <alignment horizontal="center" vertical="center" wrapText="1"/>
    </xf>
    <xf numFmtId="0" fontId="38" fillId="3" borderId="64" xfId="0" applyFont="1" applyFill="1" applyBorder="1" applyAlignment="1">
      <alignment horizontal="center" vertical="center" wrapText="1"/>
    </xf>
    <xf numFmtId="0" fontId="0" fillId="12" borderId="61" xfId="0" applyFill="1" applyBorder="1" applyAlignment="1">
      <alignment horizontal="center"/>
    </xf>
    <xf numFmtId="0" fontId="11" fillId="3" borderId="61" xfId="0" applyFont="1" applyFill="1" applyBorder="1" applyAlignment="1">
      <alignment horizontal="center" vertical="center" wrapText="1"/>
    </xf>
    <xf numFmtId="0" fontId="36" fillId="6" borderId="61" xfId="0" applyFont="1" applyFill="1" applyBorder="1" applyAlignment="1">
      <alignment horizontal="center" vertical="center" wrapText="1"/>
    </xf>
    <xf numFmtId="0" fontId="37" fillId="3" borderId="61" xfId="0" applyFont="1" applyFill="1" applyBorder="1" applyAlignment="1">
      <alignment horizontal="center" vertical="center" wrapText="1"/>
    </xf>
    <xf numFmtId="0" fontId="49" fillId="12" borderId="61" xfId="0" applyFont="1" applyFill="1" applyBorder="1" applyAlignment="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3" borderId="27" xfId="0" applyFont="1" applyFill="1" applyBorder="1" applyAlignment="1">
      <alignment horizontal="left" vertical="center" wrapText="1" indent="1"/>
    </xf>
    <xf numFmtId="0" fontId="14" fillId="3" borderId="36" xfId="0" applyFont="1" applyFill="1" applyBorder="1" applyAlignment="1">
      <alignment horizontal="left" vertical="center" wrapText="1" indent="1"/>
    </xf>
    <xf numFmtId="0" fontId="14" fillId="3" borderId="13" xfId="0" applyFont="1" applyFill="1" applyBorder="1" applyAlignment="1">
      <alignment horizontal="left" vertical="center" wrapText="1" indent="1"/>
    </xf>
    <xf numFmtId="0" fontId="14" fillId="3" borderId="18" xfId="0" applyFont="1" applyFill="1" applyBorder="1" applyAlignment="1">
      <alignment horizontal="left" vertical="center" wrapText="1" indent="1"/>
    </xf>
    <xf numFmtId="0" fontId="14" fillId="0" borderId="28" xfId="0" applyFont="1" applyBorder="1" applyAlignment="1">
      <alignment horizontal="center" vertical="center"/>
    </xf>
    <xf numFmtId="0" fontId="14" fillId="0" borderId="17" xfId="0" applyFont="1" applyBorder="1" applyAlignment="1">
      <alignment horizontal="center" vertical="center"/>
    </xf>
    <xf numFmtId="0" fontId="15" fillId="0" borderId="27" xfId="0" applyFont="1" applyBorder="1" applyAlignment="1">
      <alignment horizontal="left" vertical="center"/>
    </xf>
    <xf numFmtId="0" fontId="15" fillId="0" borderId="13" xfId="0" applyFont="1" applyBorder="1" applyAlignment="1">
      <alignment horizontal="left" vertical="center"/>
    </xf>
    <xf numFmtId="0" fontId="14" fillId="0" borderId="27" xfId="0" applyFont="1" applyBorder="1" applyAlignment="1">
      <alignment horizontal="left" vertical="center" indent="1"/>
    </xf>
    <xf numFmtId="0" fontId="14" fillId="0" borderId="13" xfId="0" applyFont="1" applyBorder="1" applyAlignment="1">
      <alignment horizontal="left" vertical="center" indent="1"/>
    </xf>
    <xf numFmtId="0" fontId="14" fillId="3" borderId="44" xfId="0" applyFont="1" applyFill="1" applyBorder="1" applyAlignment="1">
      <alignment horizontal="center" vertical="center"/>
    </xf>
    <xf numFmtId="0" fontId="14" fillId="3" borderId="52" xfId="0" applyFont="1" applyFill="1" applyBorder="1" applyAlignment="1">
      <alignment horizontal="center" vertical="center"/>
    </xf>
    <xf numFmtId="0" fontId="15" fillId="3" borderId="46" xfId="0" applyFont="1" applyFill="1" applyBorder="1" applyAlignment="1">
      <alignment horizontal="left" vertical="center" wrapText="1"/>
    </xf>
    <xf numFmtId="0" fontId="15" fillId="3" borderId="53" xfId="0" applyFont="1" applyFill="1" applyBorder="1" applyAlignment="1">
      <alignment horizontal="left" vertical="center" wrapText="1"/>
    </xf>
    <xf numFmtId="0" fontId="14" fillId="3" borderId="46" xfId="0" applyFont="1" applyFill="1" applyBorder="1" applyAlignment="1">
      <alignment horizontal="left" vertical="center" indent="1"/>
    </xf>
    <xf numFmtId="0" fontId="14" fillId="3" borderId="47" xfId="0" applyFont="1" applyFill="1" applyBorder="1" applyAlignment="1">
      <alignment horizontal="left" vertical="center" indent="1"/>
    </xf>
    <xf numFmtId="0" fontId="14" fillId="3" borderId="51" xfId="0" applyFont="1" applyFill="1" applyBorder="1" applyAlignment="1">
      <alignment horizontal="left" vertical="center" indent="1"/>
    </xf>
    <xf numFmtId="0" fontId="14" fillId="3" borderId="53" xfId="0" applyFont="1" applyFill="1" applyBorder="1" applyAlignment="1">
      <alignment horizontal="left" vertical="center" indent="1"/>
    </xf>
    <xf numFmtId="0" fontId="14" fillId="3" borderId="11" xfId="0" applyFont="1" applyFill="1" applyBorder="1" applyAlignment="1">
      <alignment horizontal="left" vertical="center" indent="1"/>
    </xf>
    <xf numFmtId="0" fontId="14" fillId="3" borderId="12" xfId="0" applyFont="1" applyFill="1" applyBorder="1" applyAlignment="1">
      <alignment horizontal="left" vertical="center" indent="1"/>
    </xf>
    <xf numFmtId="0" fontId="15" fillId="5" borderId="45" xfId="0" applyFont="1" applyFill="1" applyBorder="1" applyAlignment="1">
      <alignment horizontal="left" vertical="center" indent="1"/>
    </xf>
    <xf numFmtId="0" fontId="15" fillId="5" borderId="50" xfId="0" applyFont="1" applyFill="1" applyBorder="1" applyAlignment="1">
      <alignment horizontal="left" vertical="center" indent="1"/>
    </xf>
    <xf numFmtId="0" fontId="14" fillId="3" borderId="32" xfId="0" applyFont="1" applyFill="1" applyBorder="1" applyAlignment="1">
      <alignment horizontal="left" vertical="center" indent="1"/>
    </xf>
    <xf numFmtId="0" fontId="14" fillId="3" borderId="23" xfId="0" applyFont="1" applyFill="1" applyBorder="1" applyAlignment="1">
      <alignment horizontal="left" vertical="center" indent="1"/>
    </xf>
    <xf numFmtId="0" fontId="14" fillId="3" borderId="4" xfId="0" applyFont="1" applyFill="1" applyBorder="1" applyAlignment="1">
      <alignment horizontal="left" vertical="center" indent="1"/>
    </xf>
    <xf numFmtId="0" fontId="14" fillId="3" borderId="2" xfId="0" applyFont="1" applyFill="1" applyBorder="1" applyAlignment="1">
      <alignment horizontal="left" vertical="center" indent="1"/>
    </xf>
    <xf numFmtId="0" fontId="14" fillId="3" borderId="3" xfId="0" applyFont="1" applyFill="1" applyBorder="1" applyAlignment="1">
      <alignment horizontal="left" vertical="center" indent="1"/>
    </xf>
    <xf numFmtId="0" fontId="14" fillId="3" borderId="25" xfId="0" applyFont="1" applyFill="1" applyBorder="1" applyAlignment="1">
      <alignment horizontal="left" vertical="center" wrapText="1" indent="1"/>
    </xf>
    <xf numFmtId="0" fontId="14" fillId="3" borderId="29" xfId="0" applyFont="1" applyFill="1" applyBorder="1" applyAlignment="1">
      <alignment horizontal="left" vertical="center" wrapText="1" indent="1"/>
    </xf>
    <xf numFmtId="0" fontId="14" fillId="3" borderId="24" xfId="0" applyFont="1" applyFill="1" applyBorder="1" applyAlignment="1">
      <alignment horizontal="left" vertical="center" wrapText="1" indent="1"/>
    </xf>
    <xf numFmtId="0" fontId="22" fillId="3" borderId="46" xfId="0" applyFont="1" applyFill="1" applyBorder="1" applyAlignment="1">
      <alignment horizontal="center" vertical="center"/>
    </xf>
    <xf numFmtId="0" fontId="22" fillId="3" borderId="47" xfId="0" applyFont="1" applyFill="1" applyBorder="1" applyAlignment="1">
      <alignment horizontal="center" vertical="center"/>
    </xf>
    <xf numFmtId="0" fontId="22" fillId="3" borderId="51" xfId="0" applyFont="1" applyFill="1" applyBorder="1" applyAlignment="1">
      <alignment horizontal="center" vertic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49" fontId="18" fillId="3" borderId="22" xfId="0" applyNumberFormat="1" applyFont="1" applyFill="1" applyBorder="1" applyAlignment="1">
      <alignment horizontal="center" vertical="center"/>
    </xf>
    <xf numFmtId="49" fontId="18" fillId="3" borderId="23" xfId="0" applyNumberFormat="1" applyFont="1" applyFill="1" applyBorder="1" applyAlignment="1">
      <alignment horizontal="center" vertical="center"/>
    </xf>
    <xf numFmtId="49" fontId="18" fillId="3" borderId="4" xfId="0" applyNumberFormat="1" applyFont="1" applyFill="1" applyBorder="1" applyAlignment="1">
      <alignment horizontal="center" vertical="center"/>
    </xf>
    <xf numFmtId="49" fontId="11" fillId="5" borderId="0" xfId="0" applyNumberFormat="1" applyFont="1" applyFill="1" applyAlignment="1">
      <alignment horizontal="center" vertical="center"/>
    </xf>
    <xf numFmtId="49" fontId="40" fillId="8" borderId="22" xfId="0" applyNumberFormat="1" applyFont="1" applyFill="1" applyBorder="1" applyAlignment="1">
      <alignment horizontal="center" vertical="center"/>
    </xf>
    <xf numFmtId="49" fontId="40" fillId="8" borderId="23" xfId="0" applyNumberFormat="1" applyFont="1" applyFill="1" applyBorder="1" applyAlignment="1">
      <alignment horizontal="center" vertical="center"/>
    </xf>
    <xf numFmtId="49" fontId="40" fillId="8" borderId="4" xfId="0" applyNumberFormat="1" applyFont="1" applyFill="1" applyBorder="1" applyAlignment="1">
      <alignment horizontal="center" vertical="center"/>
    </xf>
    <xf numFmtId="49" fontId="12" fillId="5" borderId="0" xfId="0" applyNumberFormat="1" applyFont="1" applyFill="1" applyAlignment="1">
      <alignment horizontal="center" vertical="center"/>
    </xf>
    <xf numFmtId="0" fontId="15" fillId="0" borderId="15" xfId="0" applyFont="1" applyBorder="1" applyAlignment="1">
      <alignment horizontal="left" vertical="center" wrapText="1"/>
    </xf>
    <xf numFmtId="0" fontId="15" fillId="0" borderId="20" xfId="0" applyFont="1" applyBorder="1" applyAlignment="1">
      <alignment horizontal="left" vertical="center" wrapText="1"/>
    </xf>
    <xf numFmtId="49" fontId="27" fillId="3" borderId="22" xfId="0" applyNumberFormat="1" applyFont="1" applyFill="1" applyBorder="1" applyAlignment="1">
      <alignment horizontal="center" vertical="center"/>
    </xf>
    <xf numFmtId="49" fontId="27" fillId="3" borderId="4" xfId="0" applyNumberFormat="1" applyFont="1" applyFill="1" applyBorder="1" applyAlignment="1">
      <alignment horizontal="center" vertical="center"/>
    </xf>
    <xf numFmtId="49" fontId="41" fillId="6" borderId="6" xfId="0" applyNumberFormat="1" applyFont="1" applyFill="1" applyBorder="1" applyAlignment="1">
      <alignment horizontal="center" vertical="center"/>
    </xf>
    <xf numFmtId="49" fontId="41" fillId="6" borderId="7" xfId="0" applyNumberFormat="1" applyFont="1" applyFill="1" applyBorder="1" applyAlignment="1">
      <alignment horizontal="center" vertical="center"/>
    </xf>
    <xf numFmtId="49" fontId="41" fillId="6" borderId="8" xfId="0" applyNumberFormat="1" applyFont="1" applyFill="1" applyBorder="1" applyAlignment="1">
      <alignment horizontal="center" vertical="center"/>
    </xf>
    <xf numFmtId="49" fontId="41" fillId="6" borderId="10" xfId="0" applyNumberFormat="1" applyFont="1" applyFill="1" applyBorder="1" applyAlignment="1">
      <alignment horizontal="center" vertical="center"/>
    </xf>
    <xf numFmtId="49" fontId="41" fillId="6" borderId="11" xfId="0" applyNumberFormat="1" applyFont="1" applyFill="1" applyBorder="1" applyAlignment="1">
      <alignment horizontal="center" vertical="center"/>
    </xf>
    <xf numFmtId="49" fontId="41" fillId="6" borderId="12" xfId="0" applyNumberFormat="1" applyFont="1" applyFill="1" applyBorder="1" applyAlignment="1">
      <alignment horizontal="center" vertical="center"/>
    </xf>
    <xf numFmtId="0" fontId="14" fillId="3" borderId="15" xfId="0" applyFont="1" applyFill="1" applyBorder="1" applyAlignment="1">
      <alignment horizontal="left" vertical="center" indent="1"/>
    </xf>
    <xf numFmtId="0" fontId="14" fillId="3" borderId="54" xfId="0" applyFont="1" applyFill="1" applyBorder="1" applyAlignment="1">
      <alignment horizontal="center" vertical="center"/>
    </xf>
    <xf numFmtId="0" fontId="14" fillId="3" borderId="48" xfId="0" applyFont="1" applyFill="1" applyBorder="1" applyAlignment="1">
      <alignment horizontal="center" vertical="center"/>
    </xf>
    <xf numFmtId="0" fontId="15" fillId="0" borderId="55" xfId="0" applyFont="1" applyBorder="1" applyAlignment="1">
      <alignment horizontal="left" vertical="center" wrapText="1"/>
    </xf>
    <xf numFmtId="0" fontId="15" fillId="0" borderId="37" xfId="0" applyFont="1" applyBorder="1" applyAlignment="1">
      <alignment horizontal="left" vertical="center" wrapText="1"/>
    </xf>
    <xf numFmtId="0" fontId="15" fillId="0" borderId="57" xfId="0" applyFont="1" applyBorder="1" applyAlignment="1">
      <alignment horizontal="left" vertical="center" wrapText="1"/>
    </xf>
    <xf numFmtId="0" fontId="14" fillId="3" borderId="15" xfId="0" applyFont="1" applyFill="1" applyBorder="1" applyAlignment="1">
      <alignment horizontal="left" vertical="center" indent="5"/>
    </xf>
    <xf numFmtId="0" fontId="14" fillId="3" borderId="16" xfId="0" applyFont="1" applyFill="1" applyBorder="1" applyAlignment="1">
      <alignment horizontal="left" vertical="center" indent="5"/>
    </xf>
    <xf numFmtId="0" fontId="14" fillId="3" borderId="13" xfId="0" applyFont="1" applyFill="1" applyBorder="1" applyAlignment="1">
      <alignment horizontal="left" vertical="center" indent="5"/>
    </xf>
    <xf numFmtId="0" fontId="14" fillId="3" borderId="18" xfId="0" applyFont="1" applyFill="1" applyBorder="1" applyAlignment="1">
      <alignment horizontal="left" vertical="center" indent="5"/>
    </xf>
    <xf numFmtId="0" fontId="14" fillId="3" borderId="20" xfId="0" applyFont="1" applyFill="1" applyBorder="1" applyAlignment="1">
      <alignment horizontal="left" vertical="center" indent="5"/>
    </xf>
    <xf numFmtId="0" fontId="14" fillId="3" borderId="21" xfId="0" applyFont="1" applyFill="1" applyBorder="1" applyAlignment="1">
      <alignment horizontal="left" vertical="center" indent="5"/>
    </xf>
    <xf numFmtId="0" fontId="14" fillId="3" borderId="39" xfId="0" applyFont="1" applyFill="1" applyBorder="1" applyAlignment="1">
      <alignment horizontal="left" vertical="center" indent="1"/>
    </xf>
    <xf numFmtId="0" fontId="14" fillId="3" borderId="43" xfId="0" applyFont="1" applyFill="1" applyBorder="1" applyAlignment="1">
      <alignment horizontal="left" vertical="center" indent="1"/>
    </xf>
    <xf numFmtId="0" fontId="14" fillId="3" borderId="42" xfId="0" applyFont="1" applyFill="1" applyBorder="1" applyAlignment="1">
      <alignment horizontal="left" vertical="center" indent="1"/>
    </xf>
    <xf numFmtId="0" fontId="16" fillId="3" borderId="30" xfId="0" applyFont="1" applyFill="1" applyBorder="1" applyAlignment="1">
      <alignment horizontal="center" vertical="center"/>
    </xf>
    <xf numFmtId="0" fontId="16" fillId="3" borderId="58" xfId="0" applyFont="1" applyFill="1" applyBorder="1" applyAlignment="1">
      <alignment horizontal="center" vertical="center"/>
    </xf>
    <xf numFmtId="0" fontId="16" fillId="3" borderId="59" xfId="0" applyFont="1" applyFill="1" applyBorder="1" applyAlignment="1">
      <alignment horizontal="center" vertical="center"/>
    </xf>
    <xf numFmtId="0" fontId="0" fillId="5" borderId="10" xfId="0"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49" fontId="10" fillId="5" borderId="9" xfId="0" applyNumberFormat="1" applyFont="1" applyFill="1" applyBorder="1" applyAlignment="1">
      <alignment horizontal="center" vertical="center"/>
    </xf>
    <xf numFmtId="0" fontId="0" fillId="5" borderId="5" xfId="0" applyFill="1" applyBorder="1" applyAlignment="1">
      <alignment horizontal="center"/>
    </xf>
    <xf numFmtId="49" fontId="12" fillId="5" borderId="23" xfId="0" applyNumberFormat="1" applyFont="1" applyFill="1" applyBorder="1" applyAlignment="1">
      <alignment horizontal="center" vertical="center"/>
    </xf>
    <xf numFmtId="0" fontId="14" fillId="0" borderId="45" xfId="0" applyFont="1" applyBorder="1" applyAlignment="1">
      <alignment horizontal="left" vertical="center" indent="1"/>
    </xf>
    <xf numFmtId="49" fontId="27" fillId="7" borderId="22" xfId="0" applyNumberFormat="1" applyFont="1" applyFill="1" applyBorder="1" applyAlignment="1">
      <alignment horizontal="center" vertical="center"/>
    </xf>
    <xf numFmtId="49" fontId="27" fillId="7" borderId="4" xfId="0" applyNumberFormat="1" applyFont="1" applyFill="1" applyBorder="1" applyAlignment="1">
      <alignment horizontal="center" vertical="center"/>
    </xf>
    <xf numFmtId="0" fontId="13" fillId="4" borderId="32" xfId="0" applyFont="1" applyFill="1" applyBorder="1" applyAlignment="1">
      <alignment horizontal="center" vertical="center"/>
    </xf>
    <xf numFmtId="0" fontId="13" fillId="4" borderId="23" xfId="0" applyFont="1" applyFill="1" applyBorder="1" applyAlignment="1">
      <alignment horizontal="center" vertical="center"/>
    </xf>
    <xf numFmtId="0" fontId="13" fillId="4" borderId="35" xfId="0" applyFont="1" applyFill="1" applyBorder="1" applyAlignment="1">
      <alignment horizontal="center" vertical="center"/>
    </xf>
    <xf numFmtId="0" fontId="14" fillId="0" borderId="39" xfId="0" applyFont="1" applyBorder="1" applyAlignment="1">
      <alignment horizontal="left" vertical="center" wrapText="1" indent="1"/>
    </xf>
    <xf numFmtId="0" fontId="14" fillId="0" borderId="43" xfId="0" applyFont="1" applyBorder="1" applyAlignment="1">
      <alignment horizontal="left" vertical="center" wrapText="1" indent="1"/>
    </xf>
    <xf numFmtId="0" fontId="14" fillId="0" borderId="42" xfId="0" applyFont="1" applyBorder="1" applyAlignment="1">
      <alignment horizontal="left" vertical="center" wrapText="1" indent="1"/>
    </xf>
    <xf numFmtId="0" fontId="14" fillId="0" borderId="18" xfId="0" applyFont="1" applyBorder="1" applyAlignment="1">
      <alignment horizontal="left" vertical="center" indent="1"/>
    </xf>
    <xf numFmtId="0" fontId="14" fillId="0" borderId="25" xfId="0" applyFont="1" applyBorder="1" applyAlignment="1">
      <alignment horizontal="left" vertical="center" indent="1"/>
    </xf>
    <xf numFmtId="0" fontId="14" fillId="0" borderId="29" xfId="0" applyFont="1" applyBorder="1" applyAlignment="1">
      <alignment horizontal="left" vertical="center" indent="1"/>
    </xf>
    <xf numFmtId="0" fontId="14" fillId="0" borderId="24" xfId="0" applyFont="1" applyBorder="1" applyAlignment="1">
      <alignment horizontal="left" vertical="center" indent="1"/>
    </xf>
    <xf numFmtId="0" fontId="16" fillId="3" borderId="33" xfId="0" applyFont="1" applyFill="1" applyBorder="1" applyAlignment="1">
      <alignment horizontal="center" vertical="center"/>
    </xf>
    <xf numFmtId="0" fontId="22" fillId="3" borderId="49" xfId="0" applyFont="1" applyFill="1" applyBorder="1" applyAlignment="1">
      <alignment horizontal="center" vertical="center"/>
    </xf>
    <xf numFmtId="0" fontId="22" fillId="3" borderId="60" xfId="0" applyFont="1" applyFill="1" applyBorder="1" applyAlignment="1">
      <alignment horizontal="center" vertical="center"/>
    </xf>
    <xf numFmtId="0" fontId="15" fillId="5" borderId="13" xfId="0" applyFont="1" applyFill="1" applyBorder="1" applyAlignment="1">
      <alignment horizontal="left" vertical="center"/>
    </xf>
    <xf numFmtId="0" fontId="15" fillId="5" borderId="18" xfId="0" applyFont="1" applyFill="1" applyBorder="1" applyAlignment="1">
      <alignment horizontal="left" vertical="center"/>
    </xf>
    <xf numFmtId="0" fontId="15" fillId="11" borderId="13" xfId="0" applyFont="1" applyFill="1" applyBorder="1" applyAlignment="1">
      <alignment horizontal="left" vertical="center"/>
    </xf>
    <xf numFmtId="0" fontId="15" fillId="11" borderId="18" xfId="0" applyFont="1" applyFill="1" applyBorder="1" applyAlignment="1">
      <alignment horizontal="left" vertical="center"/>
    </xf>
    <xf numFmtId="0" fontId="8" fillId="10" borderId="13" xfId="0" applyFont="1" applyFill="1" applyBorder="1" applyAlignment="1">
      <alignment horizontal="center" vertical="center"/>
    </xf>
    <xf numFmtId="0" fontId="0" fillId="8" borderId="10" xfId="0" applyFill="1" applyBorder="1" applyAlignment="1">
      <alignment horizontal="center"/>
    </xf>
    <xf numFmtId="0" fontId="0" fillId="8" borderId="11" xfId="0" applyFill="1" applyBorder="1" applyAlignment="1">
      <alignment horizontal="center"/>
    </xf>
    <xf numFmtId="0" fontId="0" fillId="8" borderId="12" xfId="0" applyFill="1" applyBorder="1" applyAlignment="1">
      <alignment horizontal="center"/>
    </xf>
    <xf numFmtId="0" fontId="29" fillId="8" borderId="31" xfId="0" applyFont="1" applyFill="1" applyBorder="1" applyAlignment="1">
      <alignment horizontal="center"/>
    </xf>
    <xf numFmtId="0" fontId="29" fillId="8" borderId="0" xfId="0" applyFont="1" applyFill="1" applyAlignment="1">
      <alignment horizontal="center"/>
    </xf>
    <xf numFmtId="0" fontId="15" fillId="5" borderId="20" xfId="0" applyFont="1" applyFill="1" applyBorder="1" applyAlignment="1">
      <alignment horizontal="left" vertical="center"/>
    </xf>
    <xf numFmtId="0" fontId="15" fillId="5" borderId="21" xfId="0" applyFont="1" applyFill="1" applyBorder="1" applyAlignment="1">
      <alignment horizontal="left" vertical="center"/>
    </xf>
    <xf numFmtId="0" fontId="15" fillId="11" borderId="20" xfId="0" applyFont="1" applyFill="1" applyBorder="1" applyAlignment="1">
      <alignment horizontal="left" vertical="center"/>
    </xf>
    <xf numFmtId="0" fontId="15" fillId="11" borderId="21" xfId="0" applyFont="1" applyFill="1" applyBorder="1" applyAlignment="1">
      <alignment horizontal="left" vertical="center"/>
    </xf>
    <xf numFmtId="0" fontId="39" fillId="8" borderId="0" xfId="0" applyFont="1" applyFill="1" applyAlignment="1">
      <alignment horizontal="center" vertical="center"/>
    </xf>
    <xf numFmtId="0" fontId="2" fillId="8" borderId="7" xfId="0" applyFont="1" applyFill="1" applyBorder="1" applyAlignment="1">
      <alignment horizontal="center" vertical="center"/>
    </xf>
    <xf numFmtId="0" fontId="0" fillId="8" borderId="8" xfId="0" applyFill="1" applyBorder="1" applyAlignment="1">
      <alignment horizontal="center"/>
    </xf>
    <xf numFmtId="0" fontId="0" fillId="8" borderId="5" xfId="0" applyFill="1" applyBorder="1" applyAlignment="1">
      <alignment horizontal="center"/>
    </xf>
    <xf numFmtId="0" fontId="0" fillId="8" borderId="6" xfId="0" applyFill="1" applyBorder="1" applyAlignment="1">
      <alignment horizontal="center"/>
    </xf>
    <xf numFmtId="0" fontId="0" fillId="8" borderId="9" xfId="0" applyFill="1" applyBorder="1" applyAlignment="1">
      <alignment horizontal="center"/>
    </xf>
    <xf numFmtId="49" fontId="30" fillId="5" borderId="14" xfId="0" applyNumberFormat="1" applyFont="1" applyFill="1" applyBorder="1" applyAlignment="1">
      <alignment horizontal="center" vertical="center" wrapText="1"/>
    </xf>
    <xf numFmtId="49" fontId="30" fillId="5" borderId="15" xfId="0" applyNumberFormat="1" applyFont="1" applyFill="1" applyBorder="1" applyAlignment="1">
      <alignment horizontal="center" vertical="center" wrapText="1"/>
    </xf>
    <xf numFmtId="49" fontId="30" fillId="5" borderId="16" xfId="0" applyNumberFormat="1" applyFont="1" applyFill="1" applyBorder="1" applyAlignment="1">
      <alignment horizontal="center" vertical="center" wrapText="1"/>
    </xf>
    <xf numFmtId="49" fontId="30" fillId="11" borderId="14" xfId="0" applyNumberFormat="1" applyFont="1" applyFill="1" applyBorder="1" applyAlignment="1">
      <alignment horizontal="center" vertical="center" wrapText="1"/>
    </xf>
    <xf numFmtId="49" fontId="30" fillId="11" borderId="15" xfId="0" applyNumberFormat="1" applyFont="1" applyFill="1" applyBorder="1" applyAlignment="1">
      <alignment horizontal="center" vertical="center" wrapText="1"/>
    </xf>
    <xf numFmtId="49" fontId="30" fillId="11" borderId="16" xfId="0" applyNumberFormat="1" applyFont="1" applyFill="1" applyBorder="1" applyAlignment="1">
      <alignment horizontal="center" vertical="center" wrapText="1"/>
    </xf>
    <xf numFmtId="49" fontId="42" fillId="3" borderId="22" xfId="0" applyNumberFormat="1" applyFont="1" applyFill="1" applyBorder="1" applyAlignment="1">
      <alignment horizontal="center" vertical="center"/>
    </xf>
    <xf numFmtId="49" fontId="42" fillId="3" borderId="23" xfId="0" applyNumberFormat="1" applyFont="1" applyFill="1" applyBorder="1" applyAlignment="1">
      <alignment horizontal="center" vertical="center"/>
    </xf>
    <xf numFmtId="49" fontId="42" fillId="3" borderId="4" xfId="0" applyNumberFormat="1" applyFont="1" applyFill="1" applyBorder="1" applyAlignment="1">
      <alignment horizontal="center" vertical="center"/>
    </xf>
    <xf numFmtId="49" fontId="11" fillId="8" borderId="0" xfId="0" applyNumberFormat="1" applyFont="1" applyFill="1" applyAlignment="1">
      <alignment horizontal="center" vertical="center"/>
    </xf>
    <xf numFmtId="49" fontId="43" fillId="6" borderId="22" xfId="0" applyNumberFormat="1" applyFont="1" applyFill="1" applyBorder="1" applyAlignment="1">
      <alignment horizontal="center" vertical="center"/>
    </xf>
    <xf numFmtId="49" fontId="43" fillId="6" borderId="23" xfId="0" applyNumberFormat="1" applyFont="1" applyFill="1" applyBorder="1" applyAlignment="1">
      <alignment horizontal="center" vertical="center"/>
    </xf>
    <xf numFmtId="49" fontId="43" fillId="6" borderId="4" xfId="0" applyNumberFormat="1" applyFont="1" applyFill="1" applyBorder="1" applyAlignment="1">
      <alignment horizontal="center" vertical="center"/>
    </xf>
    <xf numFmtId="49" fontId="49" fillId="8" borderId="0" xfId="0" applyNumberFormat="1" applyFont="1" applyFill="1" applyAlignment="1">
      <alignment horizontal="center" vertical="center"/>
    </xf>
    <xf numFmtId="0" fontId="12" fillId="3" borderId="6"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8" fillId="8" borderId="0" xfId="0" applyFont="1" applyFill="1" applyAlignment="1">
      <alignment horizontal="center" vertical="center"/>
    </xf>
    <xf numFmtId="0" fontId="15" fillId="3" borderId="10"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12" xfId="0" applyFont="1" applyFill="1" applyBorder="1" applyAlignment="1">
      <alignment horizontal="center" vertical="center"/>
    </xf>
    <xf numFmtId="0" fontId="30" fillId="4" borderId="13" xfId="0" applyFont="1" applyFill="1" applyBorder="1" applyAlignment="1">
      <alignment horizontal="center" vertical="center"/>
    </xf>
    <xf numFmtId="0" fontId="30" fillId="4" borderId="18" xfId="0" applyFont="1" applyFill="1" applyBorder="1" applyAlignment="1">
      <alignment horizontal="center" vertical="center"/>
    </xf>
    <xf numFmtId="0" fontId="4" fillId="8" borderId="11" xfId="0" applyFont="1" applyFill="1" applyBorder="1" applyAlignment="1">
      <alignment horizontal="center"/>
    </xf>
    <xf numFmtId="49" fontId="7" fillId="8" borderId="9" xfId="0" applyNumberFormat="1" applyFont="1" applyFill="1" applyBorder="1" applyAlignment="1">
      <alignment horizontal="center" vertical="center"/>
    </xf>
    <xf numFmtId="49" fontId="7" fillId="8" borderId="10" xfId="0" applyNumberFormat="1" applyFont="1" applyFill="1" applyBorder="1" applyAlignment="1">
      <alignment horizontal="center" vertical="center"/>
    </xf>
    <xf numFmtId="49" fontId="44" fillId="3" borderId="22" xfId="0" applyNumberFormat="1" applyFont="1" applyFill="1" applyBorder="1" applyAlignment="1">
      <alignment horizontal="center" vertical="center"/>
    </xf>
    <xf numFmtId="49" fontId="44" fillId="3" borderId="23" xfId="0" applyNumberFormat="1" applyFont="1" applyFill="1" applyBorder="1" applyAlignment="1">
      <alignment horizontal="center" vertical="center"/>
    </xf>
    <xf numFmtId="49" fontId="44" fillId="3" borderId="4" xfId="0" applyNumberFormat="1" applyFont="1" applyFill="1" applyBorder="1" applyAlignment="1">
      <alignment horizontal="center" vertical="center"/>
    </xf>
    <xf numFmtId="49" fontId="53" fillId="13" borderId="6" xfId="0" applyNumberFormat="1" applyFont="1" applyFill="1" applyBorder="1" applyAlignment="1">
      <alignment horizontal="center" vertical="center"/>
    </xf>
    <xf numFmtId="0" fontId="53" fillId="13" borderId="7" xfId="0" applyFont="1" applyFill="1" applyBorder="1" applyAlignment="1">
      <alignment horizontal="center" vertical="center"/>
    </xf>
    <xf numFmtId="0" fontId="53" fillId="13" borderId="8" xfId="0" applyFont="1" applyFill="1" applyBorder="1" applyAlignment="1">
      <alignment horizontal="center" vertical="center"/>
    </xf>
    <xf numFmtId="0" fontId="35" fillId="8" borderId="11" xfId="0" applyFont="1" applyFill="1" applyBorder="1" applyAlignment="1">
      <alignment horizontal="center"/>
    </xf>
    <xf numFmtId="49" fontId="50" fillId="8" borderId="0" xfId="0" applyNumberFormat="1" applyFont="1" applyFill="1" applyAlignment="1">
      <alignment horizontal="center" vertical="center"/>
    </xf>
    <xf numFmtId="49" fontId="45" fillId="6" borderId="22" xfId="0" applyNumberFormat="1" applyFont="1" applyFill="1" applyBorder="1" applyAlignment="1">
      <alignment horizontal="center" vertical="center"/>
    </xf>
    <xf numFmtId="49" fontId="45" fillId="6" borderId="23" xfId="0" applyNumberFormat="1" applyFont="1" applyFill="1" applyBorder="1" applyAlignment="1">
      <alignment horizontal="center" vertical="center"/>
    </xf>
    <xf numFmtId="49" fontId="45" fillId="6" borderId="4" xfId="0" applyNumberFormat="1" applyFont="1" applyFill="1" applyBorder="1" applyAlignment="1">
      <alignment horizontal="center" vertical="center"/>
    </xf>
    <xf numFmtId="49" fontId="51" fillId="8" borderId="0" xfId="0" applyNumberFormat="1" applyFont="1" applyFill="1" applyAlignment="1">
      <alignment horizontal="center" vertical="center"/>
    </xf>
    <xf numFmtId="0" fontId="46" fillId="3" borderId="22" xfId="0" applyFont="1" applyFill="1" applyBorder="1" applyAlignment="1">
      <alignment horizontal="center" vertical="center"/>
    </xf>
    <xf numFmtId="0" fontId="46" fillId="3" borderId="23" xfId="0" applyFont="1" applyFill="1" applyBorder="1" applyAlignment="1">
      <alignment horizontal="center" vertical="center"/>
    </xf>
    <xf numFmtId="0" fontId="46" fillId="3" borderId="4" xfId="0" applyFont="1" applyFill="1" applyBorder="1" applyAlignment="1">
      <alignment horizontal="center" vertical="center"/>
    </xf>
    <xf numFmtId="0" fontId="32" fillId="8" borderId="23" xfId="0" applyFont="1" applyFill="1" applyBorder="1" applyAlignment="1">
      <alignment horizontal="center" vertical="center"/>
    </xf>
    <xf numFmtId="0" fontId="0" fillId="8" borderId="7" xfId="0" applyFill="1" applyBorder="1" applyAlignment="1">
      <alignment horizontal="center"/>
    </xf>
    <xf numFmtId="0" fontId="35" fillId="8" borderId="23" xfId="0" applyFont="1" applyFill="1" applyBorder="1" applyAlignment="1">
      <alignment horizont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8" borderId="31" xfId="0" applyFill="1" applyBorder="1" applyAlignment="1">
      <alignment horizont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3" xfId="0" applyFill="1" applyBorder="1" applyAlignment="1">
      <alignment horizontal="center" vertical="center"/>
    </xf>
    <xf numFmtId="0" fontId="0" fillId="2" borderId="18" xfId="0" applyFill="1" applyBorder="1" applyAlignment="1">
      <alignment horizontal="center" vertical="center"/>
    </xf>
    <xf numFmtId="0" fontId="0" fillId="8" borderId="13" xfId="0" applyFill="1" applyBorder="1" applyAlignment="1">
      <alignment horizontal="center" vertical="center"/>
    </xf>
    <xf numFmtId="0" fontId="0" fillId="8" borderId="18" xfId="0" applyFill="1" applyBorder="1" applyAlignment="1">
      <alignment horizontal="center" vertical="center"/>
    </xf>
    <xf numFmtId="0" fontId="0" fillId="3" borderId="45" xfId="0" applyFill="1" applyBorder="1" applyAlignment="1">
      <alignment horizontal="center" vertical="center"/>
    </xf>
    <xf numFmtId="0" fontId="0" fillId="3" borderId="50" xfId="0" applyFill="1" applyBorder="1" applyAlignment="1">
      <alignment horizontal="center" vertical="center"/>
    </xf>
    <xf numFmtId="0" fontId="9" fillId="9" borderId="22" xfId="0" applyFont="1" applyFill="1" applyBorder="1" applyAlignment="1">
      <alignment horizontal="center" vertical="center"/>
    </xf>
    <xf numFmtId="0" fontId="9" fillId="9" borderId="23" xfId="0" applyFont="1" applyFill="1" applyBorder="1" applyAlignment="1">
      <alignment horizontal="center" vertical="center"/>
    </xf>
    <xf numFmtId="0" fontId="9" fillId="9" borderId="4" xfId="0" applyFont="1" applyFill="1" applyBorder="1" applyAlignment="1">
      <alignment horizontal="center" vertical="center"/>
    </xf>
    <xf numFmtId="0" fontId="5" fillId="4" borderId="55" xfId="0" applyFont="1" applyFill="1" applyBorder="1" applyAlignment="1">
      <alignment horizontal="center" vertical="center"/>
    </xf>
    <xf numFmtId="0" fontId="5" fillId="4" borderId="56" xfId="0" applyFont="1" applyFill="1" applyBorder="1" applyAlignment="1">
      <alignment horizontal="center" vertical="center"/>
    </xf>
    <xf numFmtId="0" fontId="0" fillId="8" borderId="15" xfId="0" applyFill="1" applyBorder="1" applyAlignment="1">
      <alignment horizontal="center" vertical="center"/>
    </xf>
    <xf numFmtId="0" fontId="0" fillId="8" borderId="16" xfId="0" applyFill="1" applyBorder="1" applyAlignment="1">
      <alignment horizontal="center" vertical="center"/>
    </xf>
    <xf numFmtId="0" fontId="2" fillId="3" borderId="0" xfId="0" applyFont="1" applyFill="1" applyAlignment="1">
      <alignment horizontal="center" vertical="center"/>
    </xf>
    <xf numFmtId="49" fontId="3" fillId="8" borderId="6" xfId="0" applyNumberFormat="1" applyFont="1" applyFill="1" applyBorder="1" applyAlignment="1">
      <alignment horizontal="center" vertical="center"/>
    </xf>
    <xf numFmtId="49" fontId="3" fillId="8" borderId="7" xfId="0" applyNumberFormat="1" applyFont="1" applyFill="1" applyBorder="1" applyAlignment="1">
      <alignment horizontal="center" vertical="center"/>
    </xf>
    <xf numFmtId="49" fontId="3" fillId="8" borderId="8" xfId="0" applyNumberFormat="1" applyFont="1" applyFill="1" applyBorder="1" applyAlignment="1">
      <alignment horizontal="center" vertical="center"/>
    </xf>
    <xf numFmtId="49" fontId="3" fillId="8" borderId="9" xfId="0" applyNumberFormat="1" applyFont="1" applyFill="1" applyBorder="1" applyAlignment="1">
      <alignment horizontal="center" vertical="center"/>
    </xf>
    <xf numFmtId="0" fontId="9" fillId="2" borderId="22" xfId="0" applyFont="1" applyFill="1" applyBorder="1" applyAlignment="1">
      <alignment horizontal="center" vertical="center"/>
    </xf>
    <xf numFmtId="0" fontId="9" fillId="2" borderId="23" xfId="0" applyFont="1" applyFill="1" applyBorder="1" applyAlignment="1">
      <alignment horizontal="center" vertical="center"/>
    </xf>
    <xf numFmtId="0" fontId="9" fillId="2" borderId="4" xfId="0" applyFont="1" applyFill="1" applyBorder="1" applyAlignment="1">
      <alignment horizontal="center" vertical="center"/>
    </xf>
    <xf numFmtId="0" fontId="6" fillId="8" borderId="7" xfId="0" applyFont="1" applyFill="1" applyBorder="1" applyAlignment="1">
      <alignment horizontal="center" vertical="center"/>
    </xf>
    <xf numFmtId="0" fontId="0" fillId="8" borderId="5" xfId="0" applyFill="1" applyBorder="1" applyAlignment="1">
      <alignment horizontal="center" vertical="center"/>
    </xf>
    <xf numFmtId="0" fontId="0" fillId="8" borderId="31" xfId="0" applyFill="1" applyBorder="1" applyAlignment="1">
      <alignment horizontal="center" vertical="center"/>
    </xf>
    <xf numFmtId="0" fontId="9" fillId="5" borderId="22"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4" xfId="0" applyFont="1" applyFill="1" applyBorder="1" applyAlignment="1">
      <alignment horizontal="center" vertical="center"/>
    </xf>
    <xf numFmtId="0" fontId="25" fillId="8" borderId="23" xfId="0" applyFont="1" applyFill="1" applyBorder="1" applyAlignment="1">
      <alignment horizontal="center" vertical="center"/>
    </xf>
    <xf numFmtId="0" fontId="47" fillId="3" borderId="22" xfId="0" applyFont="1" applyFill="1" applyBorder="1" applyAlignment="1">
      <alignment horizontal="center" vertical="center"/>
    </xf>
    <xf numFmtId="0" fontId="47" fillId="3" borderId="23" xfId="0" applyFont="1" applyFill="1" applyBorder="1" applyAlignment="1">
      <alignment horizontal="center" vertical="center"/>
    </xf>
    <xf numFmtId="0" fontId="47" fillId="3" borderId="4" xfId="0" applyFont="1" applyFill="1" applyBorder="1" applyAlignment="1">
      <alignment horizontal="center" vertical="center"/>
    </xf>
    <xf numFmtId="49" fontId="54" fillId="8" borderId="0" xfId="0" applyNumberFormat="1" applyFont="1" applyFill="1" applyAlignment="1">
      <alignment horizontal="center" vertical="center"/>
    </xf>
    <xf numFmtId="49" fontId="24" fillId="6" borderId="22" xfId="0" applyNumberFormat="1" applyFont="1" applyFill="1" applyBorder="1" applyAlignment="1">
      <alignment horizontal="center" vertical="center"/>
    </xf>
    <xf numFmtId="49" fontId="24" fillId="6" borderId="23" xfId="0" applyNumberFormat="1" applyFont="1" applyFill="1" applyBorder="1" applyAlignment="1">
      <alignment horizontal="center" vertical="center"/>
    </xf>
    <xf numFmtId="49" fontId="24" fillId="6" borderId="4" xfId="0" applyNumberFormat="1" applyFont="1" applyFill="1" applyBorder="1" applyAlignment="1">
      <alignment horizontal="center" vertical="center"/>
    </xf>
    <xf numFmtId="49" fontId="55" fillId="8" borderId="0" xfId="0" applyNumberFormat="1" applyFont="1" applyFill="1" applyAlignment="1">
      <alignment horizontal="center" vertical="center"/>
    </xf>
    <xf numFmtId="0" fontId="26" fillId="3" borderId="22" xfId="0" applyFont="1" applyFill="1" applyBorder="1" applyAlignment="1">
      <alignment horizontal="center" vertical="center"/>
    </xf>
    <xf numFmtId="0" fontId="26" fillId="3" borderId="23" xfId="0" applyFont="1" applyFill="1" applyBorder="1" applyAlignment="1">
      <alignment horizontal="center" vertical="center"/>
    </xf>
    <xf numFmtId="0" fontId="26" fillId="3" borderId="4" xfId="0" applyFont="1" applyFill="1" applyBorder="1" applyAlignment="1">
      <alignment horizontal="center" vertical="center"/>
    </xf>
    <xf numFmtId="0" fontId="38" fillId="3" borderId="61" xfId="0" applyFont="1" applyFill="1" applyBorder="1" applyAlignment="1">
      <alignment horizontal="center" vertical="center"/>
    </xf>
    <xf numFmtId="0" fontId="38" fillId="8" borderId="13" xfId="0" applyFont="1" applyFill="1" applyBorder="1" applyAlignment="1">
      <alignment horizontal="center" vertical="center" wrapText="1"/>
    </xf>
  </cellXfs>
  <cellStyles count="2">
    <cellStyle name="Normal" xfId="0" builtinId="0"/>
    <cellStyle name="Vírgula 2" xfId="1" xr:uid="{F148B815-FFD2-4B40-97DE-B882CA3A15FD}"/>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FF33CC"/>
      <color rgb="FFCC9900"/>
      <color rgb="FFFFCC00"/>
      <color rgb="FFCC00FF"/>
      <color rgb="FFF1DDE7"/>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99392</xdr:colOff>
      <xdr:row>1</xdr:row>
      <xdr:rowOff>66261</xdr:rowOff>
    </xdr:from>
    <xdr:to>
      <xdr:col>2</xdr:col>
      <xdr:colOff>273327</xdr:colOff>
      <xdr:row>1</xdr:row>
      <xdr:rowOff>730251</xdr:rowOff>
    </xdr:to>
    <xdr:pic>
      <xdr:nvPicPr>
        <xdr:cNvPr id="2" name="Imagem 1" descr="Logotipo&#10;&#10;Descrição gerada automaticamente">
          <a:extLst>
            <a:ext uri="{FF2B5EF4-FFF2-40B4-BE49-F238E27FC236}">
              <a16:creationId xmlns:a16="http://schemas.microsoft.com/office/drawing/2014/main" id="{29A349D8-D064-476C-A1AB-C53ED571F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692" y="190086"/>
          <a:ext cx="612085" cy="663990"/>
        </a:xfrm>
        <a:prstGeom prst="rect">
          <a:avLst/>
        </a:prstGeom>
        <a:solidFill>
          <a:sysClr val="window" lastClr="FFFFFF"/>
        </a:solidFill>
      </xdr:spPr>
    </xdr:pic>
    <xdr:clientData/>
  </xdr:twoCellAnchor>
  <xdr:twoCellAnchor editAs="oneCell">
    <xdr:from>
      <xdr:col>11</xdr:col>
      <xdr:colOff>242683</xdr:colOff>
      <xdr:row>1</xdr:row>
      <xdr:rowOff>66261</xdr:rowOff>
    </xdr:from>
    <xdr:to>
      <xdr:col>11</xdr:col>
      <xdr:colOff>855596</xdr:colOff>
      <xdr:row>1</xdr:row>
      <xdr:rowOff>730251</xdr:rowOff>
    </xdr:to>
    <xdr:pic>
      <xdr:nvPicPr>
        <xdr:cNvPr id="3" name="Imagem 2" descr="Logotipo&#10;&#10;Descrição gerada automaticamente">
          <a:extLst>
            <a:ext uri="{FF2B5EF4-FFF2-40B4-BE49-F238E27FC236}">
              <a16:creationId xmlns:a16="http://schemas.microsoft.com/office/drawing/2014/main" id="{1C645769-AEDC-4F6F-9EE4-28634745E2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24933" y="190086"/>
          <a:ext cx="612913" cy="663990"/>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134081</xdr:colOff>
      <xdr:row>1</xdr:row>
      <xdr:rowOff>85725</xdr:rowOff>
    </xdr:from>
    <xdr:to>
      <xdr:col>2</xdr:col>
      <xdr:colOff>362818</xdr:colOff>
      <xdr:row>1</xdr:row>
      <xdr:rowOff>797868</xdr:rowOff>
    </xdr:to>
    <xdr:pic>
      <xdr:nvPicPr>
        <xdr:cNvPr id="2" name="Imagem 1" descr="Logotipo&#10;&#10;Descrição gerada automaticamente">
          <a:extLst>
            <a:ext uri="{FF2B5EF4-FFF2-40B4-BE49-F238E27FC236}">
              <a16:creationId xmlns:a16="http://schemas.microsoft.com/office/drawing/2014/main" id="{29E216ED-48A3-4F4C-8176-B60F63A5C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381" y="209550"/>
          <a:ext cx="657362" cy="712143"/>
        </a:xfrm>
        <a:prstGeom prst="rect">
          <a:avLst/>
        </a:prstGeom>
        <a:solidFill>
          <a:sysClr val="window" lastClr="FFFFFF"/>
        </a:solidFill>
      </xdr:spPr>
    </xdr:pic>
    <xdr:clientData/>
  </xdr:twoCellAnchor>
  <xdr:twoCellAnchor editAs="oneCell">
    <xdr:from>
      <xdr:col>7</xdr:col>
      <xdr:colOff>2039080</xdr:colOff>
      <xdr:row>1</xdr:row>
      <xdr:rowOff>85725</xdr:rowOff>
    </xdr:from>
    <xdr:to>
      <xdr:col>7</xdr:col>
      <xdr:colOff>2693640</xdr:colOff>
      <xdr:row>1</xdr:row>
      <xdr:rowOff>797868</xdr:rowOff>
    </xdr:to>
    <xdr:pic>
      <xdr:nvPicPr>
        <xdr:cNvPr id="4" name="Imagem 3" descr="Logotipo&#10;&#10;Descrição gerada automaticamente">
          <a:extLst>
            <a:ext uri="{FF2B5EF4-FFF2-40B4-BE49-F238E27FC236}">
              <a16:creationId xmlns:a16="http://schemas.microsoft.com/office/drawing/2014/main" id="{4F82FA81-CE71-3C40-6666-32206929E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64198" y="208990"/>
          <a:ext cx="654560" cy="712143"/>
        </a:xfrm>
        <a:prstGeom prst="rect">
          <a:avLst/>
        </a:prstGeom>
        <a:solidFill>
          <a:sysClr val="window" lastClr="FFFFFF"/>
        </a:solid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113434</xdr:colOff>
      <xdr:row>1</xdr:row>
      <xdr:rowOff>85724</xdr:rowOff>
    </xdr:from>
    <xdr:to>
      <xdr:col>2</xdr:col>
      <xdr:colOff>56421</xdr:colOff>
      <xdr:row>1</xdr:row>
      <xdr:rowOff>797867</xdr:rowOff>
    </xdr:to>
    <xdr:pic>
      <xdr:nvPicPr>
        <xdr:cNvPr id="2" name="Imagem 1" descr="Logotipo&#10;&#10;Descrição gerada automaticamente">
          <a:extLst>
            <a:ext uri="{FF2B5EF4-FFF2-40B4-BE49-F238E27FC236}">
              <a16:creationId xmlns:a16="http://schemas.microsoft.com/office/drawing/2014/main" id="{C55F12AB-0E48-429D-8279-FB1647F763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 y="209549"/>
          <a:ext cx="657362" cy="712143"/>
        </a:xfrm>
        <a:prstGeom prst="rect">
          <a:avLst/>
        </a:prstGeom>
        <a:solidFill>
          <a:sysClr val="window" lastClr="FFFFFF"/>
        </a:solidFill>
      </xdr:spPr>
    </xdr:pic>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4" name="AutoShape 1">
          <a:extLst>
            <a:ext uri="{FF2B5EF4-FFF2-40B4-BE49-F238E27FC236}">
              <a16:creationId xmlns:a16="http://schemas.microsoft.com/office/drawing/2014/main" id="{866D6F0A-2F87-4CA3-B70D-DDBA1C834E68}"/>
            </a:ext>
          </a:extLst>
        </xdr:cNvPr>
        <xdr:cNvSpPr>
          <a:spLocks noChangeAspect="1" noChangeArrowheads="1"/>
        </xdr:cNvSpPr>
      </xdr:nvSpPr>
      <xdr:spPr bwMode="auto">
        <a:xfrm>
          <a:off x="1101090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5" name="AutoShape 1">
          <a:extLst>
            <a:ext uri="{FF2B5EF4-FFF2-40B4-BE49-F238E27FC236}">
              <a16:creationId xmlns:a16="http://schemas.microsoft.com/office/drawing/2014/main" id="{F49F97D5-1BA7-48FD-9320-02B846223674}"/>
            </a:ext>
          </a:extLst>
        </xdr:cNvPr>
        <xdr:cNvSpPr>
          <a:spLocks noChangeAspect="1" noChangeArrowheads="1"/>
        </xdr:cNvSpPr>
      </xdr:nvSpPr>
      <xdr:spPr bwMode="auto">
        <a:xfrm>
          <a:off x="1101090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656359</xdr:colOff>
      <xdr:row>1</xdr:row>
      <xdr:rowOff>85724</xdr:rowOff>
    </xdr:from>
    <xdr:to>
      <xdr:col>7</xdr:col>
      <xdr:colOff>1313721</xdr:colOff>
      <xdr:row>1</xdr:row>
      <xdr:rowOff>797867</xdr:rowOff>
    </xdr:to>
    <xdr:pic>
      <xdr:nvPicPr>
        <xdr:cNvPr id="6" name="Imagem 5" descr="Logotipo&#10;&#10;Descrição gerada automaticamente">
          <a:extLst>
            <a:ext uri="{FF2B5EF4-FFF2-40B4-BE49-F238E27FC236}">
              <a16:creationId xmlns:a16="http://schemas.microsoft.com/office/drawing/2014/main" id="{B2AD3DCC-31F2-BB4F-A846-C93EAF3AAE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24009" y="209549"/>
          <a:ext cx="657362" cy="712143"/>
        </a:xfrm>
        <a:prstGeom prst="rect">
          <a:avLst/>
        </a:prstGeom>
        <a:solidFill>
          <a:sysClr val="window" lastClr="FFFFFF"/>
        </a:solid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123825</xdr:colOff>
      <xdr:row>1</xdr:row>
      <xdr:rowOff>106506</xdr:rowOff>
    </xdr:from>
    <xdr:to>
      <xdr:col>2</xdr:col>
      <xdr:colOff>412310</xdr:colOff>
      <xdr:row>1</xdr:row>
      <xdr:rowOff>818649</xdr:rowOff>
    </xdr:to>
    <xdr:pic>
      <xdr:nvPicPr>
        <xdr:cNvPr id="2" name="Imagem 1" descr="Logotipo&#10;&#10;Descrição gerada automaticamente">
          <a:extLst>
            <a:ext uri="{FF2B5EF4-FFF2-40B4-BE49-F238E27FC236}">
              <a16:creationId xmlns:a16="http://schemas.microsoft.com/office/drawing/2014/main" id="{FF14083D-4FC1-4970-8634-EB2AF2D75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230331"/>
          <a:ext cx="659960" cy="712143"/>
        </a:xfrm>
        <a:prstGeom prst="rect">
          <a:avLst/>
        </a:prstGeom>
        <a:solidFill>
          <a:sysClr val="window" lastClr="FFFFFF"/>
        </a:solidFill>
      </xdr:spPr>
    </xdr:pic>
    <xdr:clientData/>
  </xdr:twoCellAnchor>
  <xdr:twoCellAnchor editAs="oneCell">
    <xdr:from>
      <xdr:col>15</xdr:col>
      <xdr:colOff>2105025</xdr:colOff>
      <xdr:row>1</xdr:row>
      <xdr:rowOff>106506</xdr:rowOff>
    </xdr:from>
    <xdr:to>
      <xdr:col>15</xdr:col>
      <xdr:colOff>2764985</xdr:colOff>
      <xdr:row>1</xdr:row>
      <xdr:rowOff>818649</xdr:rowOff>
    </xdr:to>
    <xdr:pic>
      <xdr:nvPicPr>
        <xdr:cNvPr id="3" name="Imagem 2" descr="Logotipo&#10;&#10;Descrição gerada automaticamente">
          <a:extLst>
            <a:ext uri="{FF2B5EF4-FFF2-40B4-BE49-F238E27FC236}">
              <a16:creationId xmlns:a16="http://schemas.microsoft.com/office/drawing/2014/main" id="{D95BF811-8D42-D973-6324-CD68594DB4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0" y="230331"/>
          <a:ext cx="659960" cy="712143"/>
        </a:xfrm>
        <a:prstGeom prst="rect">
          <a:avLst/>
        </a:prstGeom>
        <a:solidFill>
          <a:sysClr val="window" lastClr="FFFFFF"/>
        </a:solid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123825</xdr:colOff>
      <xdr:row>1</xdr:row>
      <xdr:rowOff>96982</xdr:rowOff>
    </xdr:from>
    <xdr:to>
      <xdr:col>1</xdr:col>
      <xdr:colOff>698861</xdr:colOff>
      <xdr:row>1</xdr:row>
      <xdr:rowOff>695325</xdr:rowOff>
    </xdr:to>
    <xdr:pic>
      <xdr:nvPicPr>
        <xdr:cNvPr id="2" name="Imagem 1" descr="Logotipo&#10;&#10;Descrição gerada automaticamente">
          <a:extLst>
            <a:ext uri="{FF2B5EF4-FFF2-40B4-BE49-F238E27FC236}">
              <a16:creationId xmlns:a16="http://schemas.microsoft.com/office/drawing/2014/main" id="{F5D877A5-A6B0-48F1-A8DA-03002458A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220807"/>
          <a:ext cx="575036" cy="598343"/>
        </a:xfrm>
        <a:prstGeom prst="rect">
          <a:avLst/>
        </a:prstGeom>
        <a:solidFill>
          <a:sysClr val="window" lastClr="FFFFFF"/>
        </a:solidFill>
      </xdr:spPr>
    </xdr:pic>
    <xdr:clientData/>
  </xdr:twoCellAnchor>
  <xdr:twoCellAnchor editAs="oneCell">
    <xdr:from>
      <xdr:col>14</xdr:col>
      <xdr:colOff>552450</xdr:colOff>
      <xdr:row>1</xdr:row>
      <xdr:rowOff>96982</xdr:rowOff>
    </xdr:from>
    <xdr:to>
      <xdr:col>15</xdr:col>
      <xdr:colOff>517886</xdr:colOff>
      <xdr:row>1</xdr:row>
      <xdr:rowOff>695325</xdr:rowOff>
    </xdr:to>
    <xdr:pic>
      <xdr:nvPicPr>
        <xdr:cNvPr id="3" name="Imagem 2" descr="Logotipo&#10;&#10;Descrição gerada automaticamente">
          <a:extLst>
            <a:ext uri="{FF2B5EF4-FFF2-40B4-BE49-F238E27FC236}">
              <a16:creationId xmlns:a16="http://schemas.microsoft.com/office/drawing/2014/main" id="{26EAC741-1A54-E054-9D15-1C36F009B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10900" y="220807"/>
          <a:ext cx="575036" cy="598343"/>
        </a:xfrm>
        <a:prstGeom prst="rect">
          <a:avLst/>
        </a:prstGeom>
        <a:solidFill>
          <a:sysClr val="window" lastClr="FFFFFF"/>
        </a:solidFill>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12E2F-31CB-4FA8-A980-DDD5AF1CEB33}">
  <sheetPr>
    <pageSetUpPr fitToPage="1"/>
  </sheetPr>
  <dimension ref="A1:M77"/>
  <sheetViews>
    <sheetView tabSelected="1" topLeftCell="A46" zoomScaleNormal="100" workbookViewId="0">
      <selection activeCell="E53" sqref="E53"/>
    </sheetView>
  </sheetViews>
  <sheetFormatPr defaultRowHeight="15"/>
  <cols>
    <col min="1" max="1" width="1.7109375" customWidth="1"/>
    <col min="2" max="2" width="6.5703125" customWidth="1"/>
    <col min="3" max="3" width="27.5703125" customWidth="1"/>
    <col min="4" max="4" width="34.28515625" customWidth="1"/>
    <col min="5" max="5" width="25.42578125" customWidth="1"/>
    <col min="6" max="6" width="5.28515625" customWidth="1"/>
    <col min="7" max="12" width="13.7109375" customWidth="1"/>
    <col min="13" max="13" width="1.7109375" customWidth="1"/>
    <col min="14" max="14" width="5.7109375" customWidth="1"/>
    <col min="16" max="16" width="39.5703125" customWidth="1"/>
  </cols>
  <sheetData>
    <row r="1" spans="1:13" ht="9.9499999999999993" customHeight="1" thickTop="1" thickBot="1">
      <c r="A1" s="169"/>
      <c r="B1" s="169"/>
      <c r="C1" s="169"/>
      <c r="D1" s="169"/>
      <c r="E1" s="169"/>
      <c r="F1" s="169"/>
      <c r="G1" s="169"/>
      <c r="H1" s="169"/>
      <c r="I1" s="169"/>
      <c r="J1" s="169"/>
      <c r="K1" s="169"/>
      <c r="L1" s="169"/>
      <c r="M1" s="169"/>
    </row>
    <row r="2" spans="1:13" ht="64.5" customHeight="1" thickTop="1" thickBot="1">
      <c r="A2" s="169"/>
      <c r="B2" s="170" t="s">
        <v>97</v>
      </c>
      <c r="C2" s="170"/>
      <c r="D2" s="170"/>
      <c r="E2" s="170"/>
      <c r="F2" s="170"/>
      <c r="G2" s="170"/>
      <c r="H2" s="170"/>
      <c r="I2" s="170"/>
      <c r="J2" s="170"/>
      <c r="K2" s="170"/>
      <c r="L2" s="170"/>
      <c r="M2" s="169"/>
    </row>
    <row r="3" spans="1:13" ht="50.1" customHeight="1" thickTop="1" thickBot="1">
      <c r="A3" s="169"/>
      <c r="B3" s="171" t="s">
        <v>125</v>
      </c>
      <c r="C3" s="171"/>
      <c r="D3" s="171"/>
      <c r="E3" s="171"/>
      <c r="F3" s="171"/>
      <c r="G3" s="171"/>
      <c r="H3" s="171"/>
      <c r="I3" s="171"/>
      <c r="J3" s="171"/>
      <c r="K3" s="171"/>
      <c r="L3" s="171"/>
      <c r="M3" s="169"/>
    </row>
    <row r="4" spans="1:13" ht="50.1" customHeight="1" thickTop="1" thickBot="1">
      <c r="A4" s="169"/>
      <c r="B4" s="172" t="s">
        <v>19</v>
      </c>
      <c r="C4" s="172"/>
      <c r="D4" s="172"/>
      <c r="E4" s="172"/>
      <c r="F4" s="172"/>
      <c r="G4" s="172"/>
      <c r="H4" s="172"/>
      <c r="I4" s="172"/>
      <c r="J4" s="172"/>
      <c r="K4" s="172"/>
      <c r="L4" s="172"/>
      <c r="M4" s="169"/>
    </row>
    <row r="5" spans="1:13" ht="30" customHeight="1" thickTop="1" thickBot="1">
      <c r="A5" s="169"/>
      <c r="B5" s="173" t="s">
        <v>101</v>
      </c>
      <c r="C5" s="173" t="s">
        <v>102</v>
      </c>
      <c r="D5" s="173" t="s">
        <v>103</v>
      </c>
      <c r="E5" s="173" t="s">
        <v>104</v>
      </c>
      <c r="F5" s="173" t="s">
        <v>65</v>
      </c>
      <c r="G5" s="149" t="s">
        <v>95</v>
      </c>
      <c r="H5" s="149" t="s">
        <v>122</v>
      </c>
      <c r="I5" s="149" t="s">
        <v>114</v>
      </c>
      <c r="J5" s="149" t="s">
        <v>123</v>
      </c>
      <c r="K5" s="149" t="s">
        <v>261</v>
      </c>
      <c r="L5" s="173" t="s">
        <v>105</v>
      </c>
      <c r="M5" s="169"/>
    </row>
    <row r="6" spans="1:13" ht="39.75" customHeight="1" thickTop="1" thickBot="1">
      <c r="A6" s="169"/>
      <c r="B6" s="173"/>
      <c r="C6" s="173"/>
      <c r="D6" s="173"/>
      <c r="E6" s="173"/>
      <c r="F6" s="173"/>
      <c r="G6" s="149" t="s">
        <v>96</v>
      </c>
      <c r="H6" s="149" t="s">
        <v>108</v>
      </c>
      <c r="I6" s="149" t="s">
        <v>121</v>
      </c>
      <c r="J6" s="149" t="s">
        <v>124</v>
      </c>
      <c r="K6" s="149" t="s">
        <v>108</v>
      </c>
      <c r="L6" s="173"/>
      <c r="M6" s="169"/>
    </row>
    <row r="7" spans="1:13" ht="35.1" customHeight="1" thickTop="1" thickBot="1">
      <c r="A7" s="169"/>
      <c r="B7" s="162">
        <v>1</v>
      </c>
      <c r="C7" s="151" t="s">
        <v>126</v>
      </c>
      <c r="D7" s="151" t="s">
        <v>127</v>
      </c>
      <c r="E7" s="150" t="s">
        <v>107</v>
      </c>
      <c r="F7" s="150" t="s">
        <v>106</v>
      </c>
      <c r="G7" s="150">
        <v>200</v>
      </c>
      <c r="H7" s="150">
        <v>180</v>
      </c>
      <c r="I7" s="150">
        <v>180</v>
      </c>
      <c r="J7" s="150">
        <v>180</v>
      </c>
      <c r="K7" s="150">
        <v>120</v>
      </c>
      <c r="L7" s="152">
        <f>SUM(G7:K7)</f>
        <v>860</v>
      </c>
      <c r="M7" s="169"/>
    </row>
    <row r="8" spans="1:13" ht="35.1" customHeight="1" thickTop="1" thickBot="1">
      <c r="A8" s="169"/>
      <c r="B8" s="162"/>
      <c r="C8" s="151" t="s">
        <v>128</v>
      </c>
      <c r="D8" s="151" t="s">
        <v>129</v>
      </c>
      <c r="E8" s="150" t="s">
        <v>107</v>
      </c>
      <c r="F8" s="150" t="s">
        <v>106</v>
      </c>
      <c r="G8" s="150">
        <v>200</v>
      </c>
      <c r="H8" s="150">
        <v>180</v>
      </c>
      <c r="I8" s="150">
        <v>180</v>
      </c>
      <c r="J8" s="150">
        <v>180</v>
      </c>
      <c r="K8" s="150">
        <v>120</v>
      </c>
      <c r="L8" s="152">
        <f>SUM(G8:K8)</f>
        <v>860</v>
      </c>
      <c r="M8" s="169"/>
    </row>
    <row r="9" spans="1:13" ht="35.1" customHeight="1" thickTop="1" thickBot="1">
      <c r="A9" s="169"/>
      <c r="B9" s="153">
        <v>2</v>
      </c>
      <c r="C9" s="154" t="s">
        <v>130</v>
      </c>
      <c r="D9" s="154" t="s">
        <v>131</v>
      </c>
      <c r="E9" s="153" t="s">
        <v>310</v>
      </c>
      <c r="F9" s="153" t="s">
        <v>106</v>
      </c>
      <c r="G9" s="153">
        <v>120</v>
      </c>
      <c r="H9" s="153">
        <v>120</v>
      </c>
      <c r="I9" s="153">
        <v>160</v>
      </c>
      <c r="J9" s="153">
        <v>160</v>
      </c>
      <c r="K9" s="153">
        <v>160</v>
      </c>
      <c r="L9" s="155">
        <f>SUM(G9:K9)</f>
        <v>720</v>
      </c>
      <c r="M9" s="169"/>
    </row>
    <row r="10" spans="1:13" ht="35.1" customHeight="1" thickTop="1" thickBot="1">
      <c r="A10" s="169"/>
      <c r="B10" s="150">
        <v>3</v>
      </c>
      <c r="C10" s="151" t="s">
        <v>134</v>
      </c>
      <c r="D10" s="151" t="s">
        <v>135</v>
      </c>
      <c r="E10" s="150" t="s">
        <v>136</v>
      </c>
      <c r="F10" s="150" t="s">
        <v>106</v>
      </c>
      <c r="G10" s="150">
        <v>0</v>
      </c>
      <c r="H10" s="150">
        <v>200</v>
      </c>
      <c r="I10" s="150">
        <v>0</v>
      </c>
      <c r="J10" s="150">
        <v>200</v>
      </c>
      <c r="K10" s="150">
        <v>180</v>
      </c>
      <c r="L10" s="152">
        <f>SUM(G10:K10)</f>
        <v>580</v>
      </c>
      <c r="M10" s="169"/>
    </row>
    <row r="11" spans="1:13" ht="35.1" customHeight="1" thickTop="1" thickBot="1">
      <c r="A11" s="169"/>
      <c r="B11" s="153">
        <v>4</v>
      </c>
      <c r="C11" s="154" t="s">
        <v>132</v>
      </c>
      <c r="D11" s="154" t="s">
        <v>133</v>
      </c>
      <c r="E11" s="153" t="s">
        <v>310</v>
      </c>
      <c r="F11" s="153" t="s">
        <v>106</v>
      </c>
      <c r="G11" s="153">
        <v>180</v>
      </c>
      <c r="H11" s="153">
        <v>0</v>
      </c>
      <c r="I11" s="153">
        <v>200</v>
      </c>
      <c r="J11" s="153">
        <v>140</v>
      </c>
      <c r="K11" s="153">
        <v>0</v>
      </c>
      <c r="L11" s="155">
        <f>SUM(G11:K11)</f>
        <v>520</v>
      </c>
      <c r="M11" s="169"/>
    </row>
    <row r="12" spans="1:13" ht="35.1" customHeight="1" thickTop="1" thickBot="1">
      <c r="A12" s="169"/>
      <c r="B12" s="150">
        <v>5</v>
      </c>
      <c r="C12" s="151" t="s">
        <v>151</v>
      </c>
      <c r="D12" s="151" t="s">
        <v>152</v>
      </c>
      <c r="E12" s="150" t="s">
        <v>310</v>
      </c>
      <c r="F12" s="150" t="s">
        <v>106</v>
      </c>
      <c r="G12" s="150">
        <v>0</v>
      </c>
      <c r="H12" s="150">
        <v>120</v>
      </c>
      <c r="I12" s="150">
        <v>140</v>
      </c>
      <c r="J12" s="150">
        <v>0</v>
      </c>
      <c r="K12" s="150">
        <v>160</v>
      </c>
      <c r="L12" s="152">
        <f>SUM(G12:K12)</f>
        <v>420</v>
      </c>
      <c r="M12" s="169"/>
    </row>
    <row r="13" spans="1:13" ht="35.1" customHeight="1" thickTop="1" thickBot="1">
      <c r="A13" s="169"/>
      <c r="B13" s="153">
        <v>6</v>
      </c>
      <c r="C13" s="154" t="s">
        <v>137</v>
      </c>
      <c r="D13" s="154" t="s">
        <v>138</v>
      </c>
      <c r="E13" s="153" t="s">
        <v>139</v>
      </c>
      <c r="F13" s="153" t="s">
        <v>106</v>
      </c>
      <c r="G13" s="153">
        <v>140</v>
      </c>
      <c r="H13" s="153">
        <v>140</v>
      </c>
      <c r="I13" s="153">
        <v>120</v>
      </c>
      <c r="J13" s="153">
        <v>0</v>
      </c>
      <c r="K13" s="153">
        <v>0</v>
      </c>
      <c r="L13" s="155">
        <f>SUM(G13:K13)</f>
        <v>400</v>
      </c>
      <c r="M13" s="169"/>
    </row>
    <row r="14" spans="1:13" ht="35.1" customHeight="1" thickTop="1" thickBot="1">
      <c r="A14" s="169"/>
      <c r="B14" s="150">
        <v>7</v>
      </c>
      <c r="C14" s="151" t="s">
        <v>140</v>
      </c>
      <c r="D14" s="151" t="s">
        <v>141</v>
      </c>
      <c r="E14" s="150" t="s">
        <v>310</v>
      </c>
      <c r="F14" s="150" t="s">
        <v>106</v>
      </c>
      <c r="G14" s="150">
        <v>180</v>
      </c>
      <c r="H14" s="150">
        <v>0</v>
      </c>
      <c r="I14" s="150">
        <v>200</v>
      </c>
      <c r="J14" s="150">
        <v>0</v>
      </c>
      <c r="K14" s="150">
        <v>0</v>
      </c>
      <c r="L14" s="152">
        <f>SUM(G14:K14)</f>
        <v>380</v>
      </c>
      <c r="M14" s="169"/>
    </row>
    <row r="15" spans="1:13" ht="35.1" customHeight="1" thickTop="1" thickBot="1">
      <c r="A15" s="169"/>
      <c r="B15" s="153">
        <v>8</v>
      </c>
      <c r="C15" s="154" t="s">
        <v>142</v>
      </c>
      <c r="D15" s="154" t="s">
        <v>143</v>
      </c>
      <c r="E15" s="153" t="s">
        <v>310</v>
      </c>
      <c r="F15" s="153" t="s">
        <v>106</v>
      </c>
      <c r="G15" s="153">
        <v>120</v>
      </c>
      <c r="H15" s="153">
        <v>120</v>
      </c>
      <c r="I15" s="153">
        <v>140</v>
      </c>
      <c r="J15" s="153">
        <v>0</v>
      </c>
      <c r="K15" s="153">
        <v>0</v>
      </c>
      <c r="L15" s="155">
        <f>SUM(G15:K15)</f>
        <v>380</v>
      </c>
      <c r="M15" s="169"/>
    </row>
    <row r="16" spans="1:13" ht="35.1" customHeight="1" thickTop="1" thickBot="1">
      <c r="A16" s="169"/>
      <c r="B16" s="150">
        <v>9</v>
      </c>
      <c r="C16" s="151" t="s">
        <v>144</v>
      </c>
      <c r="D16" s="151" t="s">
        <v>145</v>
      </c>
      <c r="E16" s="150" t="s">
        <v>310</v>
      </c>
      <c r="F16" s="150" t="s">
        <v>106</v>
      </c>
      <c r="G16" s="150">
        <v>120</v>
      </c>
      <c r="H16" s="150">
        <v>120</v>
      </c>
      <c r="I16" s="150">
        <v>0</v>
      </c>
      <c r="J16" s="150">
        <v>120</v>
      </c>
      <c r="K16" s="150">
        <v>0</v>
      </c>
      <c r="L16" s="152">
        <f>SUM(G16:K16)</f>
        <v>360</v>
      </c>
      <c r="M16" s="169"/>
    </row>
    <row r="17" spans="1:13" ht="35.1" customHeight="1" thickTop="1" thickBot="1">
      <c r="A17" s="169"/>
      <c r="B17" s="153">
        <v>10</v>
      </c>
      <c r="C17" s="154" t="s">
        <v>157</v>
      </c>
      <c r="D17" s="154" t="s">
        <v>158</v>
      </c>
      <c r="E17" s="153" t="s">
        <v>310</v>
      </c>
      <c r="F17" s="153" t="s">
        <v>106</v>
      </c>
      <c r="G17" s="153">
        <v>120</v>
      </c>
      <c r="H17" s="153">
        <v>100</v>
      </c>
      <c r="I17" s="153">
        <v>0</v>
      </c>
      <c r="J17" s="153">
        <v>0</v>
      </c>
      <c r="K17" s="153">
        <v>120</v>
      </c>
      <c r="L17" s="155">
        <f>SUM(G17:K17)</f>
        <v>340</v>
      </c>
      <c r="M17" s="169"/>
    </row>
    <row r="18" spans="1:13" ht="35.1" customHeight="1" thickTop="1" thickBot="1">
      <c r="A18" s="169"/>
      <c r="B18" s="150">
        <v>11</v>
      </c>
      <c r="C18" s="151" t="s">
        <v>146</v>
      </c>
      <c r="D18" s="151" t="s">
        <v>147</v>
      </c>
      <c r="E18" s="150" t="s">
        <v>310</v>
      </c>
      <c r="F18" s="150" t="s">
        <v>106</v>
      </c>
      <c r="G18" s="150">
        <v>0</v>
      </c>
      <c r="H18" s="150">
        <v>0</v>
      </c>
      <c r="I18" s="150">
        <v>160</v>
      </c>
      <c r="J18" s="150">
        <v>160</v>
      </c>
      <c r="K18" s="150">
        <v>0</v>
      </c>
      <c r="L18" s="152">
        <f>SUM(G18:K18)</f>
        <v>320</v>
      </c>
      <c r="M18" s="169"/>
    </row>
    <row r="19" spans="1:13" ht="35.1" customHeight="1" thickTop="1" thickBot="1">
      <c r="A19" s="169"/>
      <c r="B19" s="163">
        <v>12</v>
      </c>
      <c r="C19" s="154" t="s">
        <v>148</v>
      </c>
      <c r="D19" s="154" t="s">
        <v>149</v>
      </c>
      <c r="E19" s="153" t="s">
        <v>150</v>
      </c>
      <c r="F19" s="153" t="s">
        <v>106</v>
      </c>
      <c r="G19" s="153">
        <v>140</v>
      </c>
      <c r="H19" s="153">
        <v>140</v>
      </c>
      <c r="I19" s="153">
        <v>0</v>
      </c>
      <c r="J19" s="153">
        <v>0</v>
      </c>
      <c r="K19" s="153">
        <v>0</v>
      </c>
      <c r="L19" s="155">
        <f>SUM(G19:K19)</f>
        <v>280</v>
      </c>
      <c r="M19" s="169"/>
    </row>
    <row r="20" spans="1:13" ht="35.1" customHeight="1" thickTop="1" thickBot="1">
      <c r="A20" s="169"/>
      <c r="B20" s="165"/>
      <c r="C20" s="154" t="s">
        <v>183</v>
      </c>
      <c r="D20" s="154" t="s">
        <v>184</v>
      </c>
      <c r="E20" s="153" t="s">
        <v>185</v>
      </c>
      <c r="F20" s="153" t="s">
        <v>106</v>
      </c>
      <c r="G20" s="153">
        <v>0</v>
      </c>
      <c r="H20" s="153">
        <v>0</v>
      </c>
      <c r="I20" s="153">
        <v>0</v>
      </c>
      <c r="J20" s="153">
        <v>140</v>
      </c>
      <c r="K20" s="153">
        <v>140</v>
      </c>
      <c r="L20" s="155">
        <f>SUM(G20:K20)</f>
        <v>280</v>
      </c>
      <c r="M20" s="169"/>
    </row>
    <row r="21" spans="1:13" ht="35.1" customHeight="1" thickTop="1" thickBot="1">
      <c r="A21" s="169"/>
      <c r="B21" s="150">
        <v>13</v>
      </c>
      <c r="C21" s="151" t="s">
        <v>153</v>
      </c>
      <c r="D21" s="151" t="s">
        <v>154</v>
      </c>
      <c r="E21" s="150" t="s">
        <v>310</v>
      </c>
      <c r="F21" s="150" t="s">
        <v>106</v>
      </c>
      <c r="G21" s="150">
        <v>0</v>
      </c>
      <c r="H21" s="150">
        <v>0</v>
      </c>
      <c r="I21" s="150">
        <v>120</v>
      </c>
      <c r="J21" s="150">
        <v>140</v>
      </c>
      <c r="K21" s="150">
        <v>0</v>
      </c>
      <c r="L21" s="152">
        <f>SUM(G21:K21)</f>
        <v>260</v>
      </c>
      <c r="M21" s="169"/>
    </row>
    <row r="22" spans="1:13" ht="35.1" customHeight="1" thickTop="1" thickBot="1">
      <c r="A22" s="169"/>
      <c r="B22" s="153">
        <v>14</v>
      </c>
      <c r="C22" s="154" t="s">
        <v>155</v>
      </c>
      <c r="D22" s="154" t="s">
        <v>156</v>
      </c>
      <c r="E22" s="153" t="s">
        <v>310</v>
      </c>
      <c r="F22" s="153" t="s">
        <v>106</v>
      </c>
      <c r="G22" s="153">
        <v>120</v>
      </c>
      <c r="H22" s="153">
        <v>120</v>
      </c>
      <c r="I22" s="153">
        <v>0</v>
      </c>
      <c r="J22" s="153">
        <v>0</v>
      </c>
      <c r="K22" s="153">
        <v>0</v>
      </c>
      <c r="L22" s="155">
        <f>SUM(G22:K22)</f>
        <v>240</v>
      </c>
      <c r="M22" s="169"/>
    </row>
    <row r="23" spans="1:13" ht="35.1" customHeight="1" thickTop="1" thickBot="1">
      <c r="A23" s="169"/>
      <c r="B23" s="166">
        <v>15</v>
      </c>
      <c r="C23" s="151" t="s">
        <v>159</v>
      </c>
      <c r="D23" s="151" t="s">
        <v>160</v>
      </c>
      <c r="E23" s="150" t="s">
        <v>150</v>
      </c>
      <c r="F23" s="150" t="s">
        <v>106</v>
      </c>
      <c r="G23" s="150">
        <v>100</v>
      </c>
      <c r="H23" s="150">
        <v>0</v>
      </c>
      <c r="I23" s="150">
        <v>120</v>
      </c>
      <c r="J23" s="150">
        <v>0</v>
      </c>
      <c r="K23" s="150">
        <v>0</v>
      </c>
      <c r="L23" s="152">
        <f>SUM(G23:K23)</f>
        <v>220</v>
      </c>
      <c r="M23" s="169"/>
    </row>
    <row r="24" spans="1:13" ht="35.1" customHeight="1" thickTop="1" thickBot="1">
      <c r="A24" s="169"/>
      <c r="B24" s="167"/>
      <c r="C24" s="151" t="s">
        <v>161</v>
      </c>
      <c r="D24" s="151" t="s">
        <v>162</v>
      </c>
      <c r="E24" s="150" t="s">
        <v>310</v>
      </c>
      <c r="F24" s="150" t="s">
        <v>106</v>
      </c>
      <c r="G24" s="150">
        <v>120</v>
      </c>
      <c r="H24" s="150">
        <v>100</v>
      </c>
      <c r="I24" s="150">
        <v>0</v>
      </c>
      <c r="J24" s="150">
        <v>0</v>
      </c>
      <c r="K24" s="150">
        <v>0</v>
      </c>
      <c r="L24" s="152">
        <f>SUM(G24:K24)</f>
        <v>220</v>
      </c>
      <c r="M24" s="169"/>
    </row>
    <row r="25" spans="1:13" ht="35.1" customHeight="1" thickTop="1" thickBot="1">
      <c r="A25" s="169"/>
      <c r="B25" s="168"/>
      <c r="C25" s="151" t="s">
        <v>163</v>
      </c>
      <c r="D25" s="151" t="s">
        <v>164</v>
      </c>
      <c r="E25" s="150" t="s">
        <v>165</v>
      </c>
      <c r="F25" s="150" t="s">
        <v>106</v>
      </c>
      <c r="G25" s="150">
        <v>0</v>
      </c>
      <c r="H25" s="150">
        <v>100</v>
      </c>
      <c r="I25" s="150">
        <v>0</v>
      </c>
      <c r="J25" s="150">
        <v>120</v>
      </c>
      <c r="K25" s="150">
        <v>0</v>
      </c>
      <c r="L25" s="152">
        <f>SUM(G25:K25)</f>
        <v>220</v>
      </c>
      <c r="M25" s="169"/>
    </row>
    <row r="26" spans="1:13" ht="35.1" customHeight="1" thickTop="1" thickBot="1">
      <c r="A26" s="169"/>
      <c r="B26" s="163">
        <v>16</v>
      </c>
      <c r="C26" s="154" t="s">
        <v>300</v>
      </c>
      <c r="D26" s="154" t="s">
        <v>311</v>
      </c>
      <c r="E26" s="153" t="s">
        <v>150</v>
      </c>
      <c r="F26" s="153" t="s">
        <v>106</v>
      </c>
      <c r="G26" s="153">
        <v>0</v>
      </c>
      <c r="H26" s="153">
        <v>0</v>
      </c>
      <c r="I26" s="153">
        <v>0</v>
      </c>
      <c r="J26" s="153">
        <v>0</v>
      </c>
      <c r="K26" s="153">
        <v>200</v>
      </c>
      <c r="L26" s="155">
        <f>SUM(G26:K26)</f>
        <v>200</v>
      </c>
      <c r="M26" s="169"/>
    </row>
    <row r="27" spans="1:13" ht="35.1" customHeight="1" thickTop="1" thickBot="1">
      <c r="A27" s="169"/>
      <c r="B27" s="164"/>
      <c r="C27" s="154" t="s">
        <v>301</v>
      </c>
      <c r="D27" s="154" t="s">
        <v>312</v>
      </c>
      <c r="E27" s="153" t="s">
        <v>150</v>
      </c>
      <c r="F27" s="153" t="s">
        <v>106</v>
      </c>
      <c r="G27" s="153">
        <v>0</v>
      </c>
      <c r="H27" s="153">
        <v>0</v>
      </c>
      <c r="I27" s="153">
        <v>0</v>
      </c>
      <c r="J27" s="153">
        <v>0</v>
      </c>
      <c r="K27" s="153">
        <v>200</v>
      </c>
      <c r="L27" s="155">
        <f>SUM(G27:K27)</f>
        <v>200</v>
      </c>
      <c r="M27" s="169"/>
    </row>
    <row r="28" spans="1:13" ht="35.1" customHeight="1" thickTop="1" thickBot="1">
      <c r="A28" s="169"/>
      <c r="B28" s="164"/>
      <c r="C28" s="154" t="s">
        <v>166</v>
      </c>
      <c r="D28" s="154" t="s">
        <v>167</v>
      </c>
      <c r="E28" s="153" t="s">
        <v>107</v>
      </c>
      <c r="F28" s="153" t="s">
        <v>106</v>
      </c>
      <c r="G28" s="153">
        <v>0</v>
      </c>
      <c r="H28" s="153">
        <v>200</v>
      </c>
      <c r="I28" s="153">
        <v>0</v>
      </c>
      <c r="J28" s="153">
        <v>0</v>
      </c>
      <c r="K28" s="153">
        <v>0</v>
      </c>
      <c r="L28" s="155">
        <f>SUM(G28:K28)</f>
        <v>200</v>
      </c>
      <c r="M28" s="169"/>
    </row>
    <row r="29" spans="1:13" ht="35.1" customHeight="1" thickTop="1" thickBot="1">
      <c r="A29" s="169"/>
      <c r="B29" s="165"/>
      <c r="C29" s="154" t="s">
        <v>168</v>
      </c>
      <c r="D29" s="154" t="s">
        <v>169</v>
      </c>
      <c r="E29" s="153" t="s">
        <v>136</v>
      </c>
      <c r="F29" s="153" t="s">
        <v>106</v>
      </c>
      <c r="G29" s="153">
        <v>0</v>
      </c>
      <c r="H29" s="153">
        <v>0</v>
      </c>
      <c r="I29" s="153">
        <v>0</v>
      </c>
      <c r="J29" s="153">
        <v>200</v>
      </c>
      <c r="K29" s="153">
        <v>0</v>
      </c>
      <c r="L29" s="155">
        <f>SUM(G29:K29)</f>
        <v>200</v>
      </c>
      <c r="M29" s="169"/>
    </row>
    <row r="30" spans="1:13" ht="35.1" customHeight="1" thickTop="1" thickBot="1">
      <c r="A30" s="169"/>
      <c r="B30" s="166">
        <v>17</v>
      </c>
      <c r="C30" s="151" t="s">
        <v>170</v>
      </c>
      <c r="D30" s="151" t="s">
        <v>171</v>
      </c>
      <c r="E30" s="150" t="s">
        <v>107</v>
      </c>
      <c r="F30" s="150" t="s">
        <v>106</v>
      </c>
      <c r="G30" s="150">
        <v>100</v>
      </c>
      <c r="H30" s="150">
        <v>100</v>
      </c>
      <c r="I30" s="150">
        <v>0</v>
      </c>
      <c r="J30" s="150">
        <v>0</v>
      </c>
      <c r="K30" s="150">
        <v>0</v>
      </c>
      <c r="L30" s="152">
        <f>SUM(G30:K30)</f>
        <v>200</v>
      </c>
      <c r="M30" s="169"/>
    </row>
    <row r="31" spans="1:13" ht="35.1" customHeight="1" thickTop="1" thickBot="1">
      <c r="A31" s="169"/>
      <c r="B31" s="168"/>
      <c r="C31" s="151" t="s">
        <v>172</v>
      </c>
      <c r="D31" s="151" t="s">
        <v>173</v>
      </c>
      <c r="E31" s="150" t="s">
        <v>107</v>
      </c>
      <c r="F31" s="150" t="s">
        <v>106</v>
      </c>
      <c r="G31" s="150">
        <v>100</v>
      </c>
      <c r="H31" s="150">
        <v>100</v>
      </c>
      <c r="I31" s="150">
        <v>0</v>
      </c>
      <c r="J31" s="150">
        <v>0</v>
      </c>
      <c r="K31" s="150">
        <v>0</v>
      </c>
      <c r="L31" s="152">
        <f>SUM(G31:K31)</f>
        <v>200</v>
      </c>
      <c r="M31" s="169"/>
    </row>
    <row r="32" spans="1:13" ht="35.1" customHeight="1" thickTop="1" thickBot="1">
      <c r="A32" s="169"/>
      <c r="B32" s="153">
        <v>18</v>
      </c>
      <c r="C32" s="154" t="s">
        <v>302</v>
      </c>
      <c r="D32" s="154" t="s">
        <v>313</v>
      </c>
      <c r="E32" s="153" t="s">
        <v>150</v>
      </c>
      <c r="F32" s="153" t="s">
        <v>106</v>
      </c>
      <c r="G32" s="153">
        <v>0</v>
      </c>
      <c r="H32" s="153">
        <v>0</v>
      </c>
      <c r="I32" s="153">
        <v>0</v>
      </c>
      <c r="J32" s="153">
        <v>0</v>
      </c>
      <c r="K32" s="153">
        <v>180</v>
      </c>
      <c r="L32" s="155">
        <f>SUM(G32:K32)</f>
        <v>180</v>
      </c>
      <c r="M32" s="169"/>
    </row>
    <row r="33" spans="1:13" ht="35.1" customHeight="1" thickTop="1" thickBot="1">
      <c r="A33" s="169"/>
      <c r="B33" s="166">
        <v>19</v>
      </c>
      <c r="C33" s="151" t="s">
        <v>113</v>
      </c>
      <c r="D33" s="151" t="s">
        <v>174</v>
      </c>
      <c r="E33" s="150" t="s">
        <v>107</v>
      </c>
      <c r="F33" s="150" t="s">
        <v>106</v>
      </c>
      <c r="G33" s="150">
        <v>160</v>
      </c>
      <c r="H33" s="150">
        <v>0</v>
      </c>
      <c r="I33" s="150">
        <v>0</v>
      </c>
      <c r="J33" s="150">
        <v>0</v>
      </c>
      <c r="K33" s="150">
        <v>0</v>
      </c>
      <c r="L33" s="152">
        <f>SUM(G33:K33)</f>
        <v>160</v>
      </c>
      <c r="M33" s="169"/>
    </row>
    <row r="34" spans="1:13" ht="35.1" customHeight="1" thickTop="1" thickBot="1">
      <c r="A34" s="169"/>
      <c r="B34" s="167"/>
      <c r="C34" s="151" t="s">
        <v>175</v>
      </c>
      <c r="D34" s="151" t="s">
        <v>176</v>
      </c>
      <c r="E34" s="150" t="s">
        <v>177</v>
      </c>
      <c r="F34" s="150" t="s">
        <v>106</v>
      </c>
      <c r="G34" s="150">
        <v>0</v>
      </c>
      <c r="H34" s="150">
        <v>160</v>
      </c>
      <c r="I34" s="150">
        <v>0</v>
      </c>
      <c r="J34" s="150">
        <v>0</v>
      </c>
      <c r="K34" s="150">
        <v>0</v>
      </c>
      <c r="L34" s="152">
        <f>SUM(G34:K34)</f>
        <v>160</v>
      </c>
      <c r="M34" s="169"/>
    </row>
    <row r="35" spans="1:13" ht="35.1" customHeight="1" thickTop="1" thickBot="1">
      <c r="A35" s="169"/>
      <c r="B35" s="167"/>
      <c r="C35" s="151" t="s">
        <v>178</v>
      </c>
      <c r="D35" s="151" t="s">
        <v>179</v>
      </c>
      <c r="E35" s="150" t="s">
        <v>180</v>
      </c>
      <c r="F35" s="150" t="s">
        <v>106</v>
      </c>
      <c r="G35" s="150">
        <v>0</v>
      </c>
      <c r="H35" s="150">
        <v>160</v>
      </c>
      <c r="I35" s="150">
        <v>0</v>
      </c>
      <c r="J35" s="150">
        <v>0</v>
      </c>
      <c r="K35" s="150">
        <v>0</v>
      </c>
      <c r="L35" s="152">
        <f>SUM(G35:K35)</f>
        <v>160</v>
      </c>
      <c r="M35" s="169"/>
    </row>
    <row r="36" spans="1:13" ht="35.1" customHeight="1" thickTop="1" thickBot="1">
      <c r="A36" s="169"/>
      <c r="B36" s="168"/>
      <c r="C36" s="151" t="s">
        <v>181</v>
      </c>
      <c r="D36" s="151" t="s">
        <v>182</v>
      </c>
      <c r="E36" s="150" t="s">
        <v>107</v>
      </c>
      <c r="F36" s="150" t="s">
        <v>106</v>
      </c>
      <c r="G36" s="150">
        <v>160</v>
      </c>
      <c r="H36" s="150">
        <v>0</v>
      </c>
      <c r="I36" s="150">
        <v>0</v>
      </c>
      <c r="J36" s="150">
        <v>0</v>
      </c>
      <c r="K36" s="150">
        <v>0</v>
      </c>
      <c r="L36" s="152">
        <f>SUM(G36:K36)</f>
        <v>160</v>
      </c>
      <c r="M36" s="169"/>
    </row>
    <row r="37" spans="1:13" ht="35.1" customHeight="1" thickTop="1" thickBot="1">
      <c r="A37" s="169"/>
      <c r="B37" s="153">
        <v>20</v>
      </c>
      <c r="C37" s="154" t="s">
        <v>303</v>
      </c>
      <c r="D37" s="154" t="s">
        <v>314</v>
      </c>
      <c r="E37" s="153" t="s">
        <v>185</v>
      </c>
      <c r="F37" s="153" t="s">
        <v>106</v>
      </c>
      <c r="G37" s="153">
        <v>0</v>
      </c>
      <c r="H37" s="153">
        <v>0</v>
      </c>
      <c r="I37" s="153">
        <v>0</v>
      </c>
      <c r="J37" s="153">
        <v>0</v>
      </c>
      <c r="K37" s="153">
        <v>140</v>
      </c>
      <c r="L37" s="155">
        <f>SUM(G37:K37)</f>
        <v>140</v>
      </c>
      <c r="M37" s="169"/>
    </row>
    <row r="38" spans="1:13" ht="35.1" customHeight="1" thickTop="1" thickBot="1">
      <c r="A38" s="169"/>
      <c r="B38" s="166">
        <v>21</v>
      </c>
      <c r="C38" s="151" t="s">
        <v>199</v>
      </c>
      <c r="D38" s="151" t="s">
        <v>200</v>
      </c>
      <c r="E38" s="150" t="s">
        <v>201</v>
      </c>
      <c r="F38" s="150" t="s">
        <v>106</v>
      </c>
      <c r="G38" s="150">
        <v>0</v>
      </c>
      <c r="H38" s="150">
        <v>0</v>
      </c>
      <c r="I38" s="150">
        <v>0</v>
      </c>
      <c r="J38" s="150">
        <v>120</v>
      </c>
      <c r="K38" s="150">
        <v>0</v>
      </c>
      <c r="L38" s="152">
        <f>SUM(G38:K38)</f>
        <v>120</v>
      </c>
      <c r="M38" s="169"/>
    </row>
    <row r="39" spans="1:13" ht="35.1" customHeight="1" thickTop="1" thickBot="1">
      <c r="A39" s="169"/>
      <c r="B39" s="167"/>
      <c r="C39" s="151" t="s">
        <v>205</v>
      </c>
      <c r="D39" s="151" t="s">
        <v>206</v>
      </c>
      <c r="E39" s="150" t="s">
        <v>207</v>
      </c>
      <c r="F39" s="150" t="s">
        <v>119</v>
      </c>
      <c r="G39" s="150">
        <v>0</v>
      </c>
      <c r="H39" s="150">
        <v>0</v>
      </c>
      <c r="I39" s="150">
        <v>0</v>
      </c>
      <c r="J39" s="150">
        <v>120</v>
      </c>
      <c r="K39" s="150">
        <v>0</v>
      </c>
      <c r="L39" s="152">
        <f>SUM(G39:K39)</f>
        <v>120</v>
      </c>
      <c r="M39" s="169"/>
    </row>
    <row r="40" spans="1:13" ht="35.1" customHeight="1" thickTop="1" thickBot="1">
      <c r="A40" s="169"/>
      <c r="B40" s="167"/>
      <c r="C40" s="151" t="s">
        <v>186</v>
      </c>
      <c r="D40" s="151" t="s">
        <v>187</v>
      </c>
      <c r="E40" s="150" t="s">
        <v>107</v>
      </c>
      <c r="F40" s="150" t="s">
        <v>106</v>
      </c>
      <c r="G40" s="150">
        <v>0</v>
      </c>
      <c r="H40" s="150">
        <v>0</v>
      </c>
      <c r="I40" s="150">
        <v>120</v>
      </c>
      <c r="J40" s="150">
        <v>0</v>
      </c>
      <c r="K40" s="150">
        <v>0</v>
      </c>
      <c r="L40" s="152">
        <f>SUM(G40:K40)</f>
        <v>120</v>
      </c>
      <c r="M40" s="169"/>
    </row>
    <row r="41" spans="1:13" ht="35.1" customHeight="1" thickTop="1" thickBot="1">
      <c r="A41" s="169"/>
      <c r="B41" s="167"/>
      <c r="C41" s="151" t="s">
        <v>188</v>
      </c>
      <c r="D41" s="151" t="s">
        <v>189</v>
      </c>
      <c r="E41" s="150" t="s">
        <v>310</v>
      </c>
      <c r="F41" s="150" t="s">
        <v>106</v>
      </c>
      <c r="G41" s="150">
        <v>0</v>
      </c>
      <c r="H41" s="150">
        <v>0</v>
      </c>
      <c r="I41" s="150">
        <v>120</v>
      </c>
      <c r="J41" s="150">
        <v>0</v>
      </c>
      <c r="K41" s="150">
        <v>0</v>
      </c>
      <c r="L41" s="152">
        <f>SUM(G41:K41)</f>
        <v>120</v>
      </c>
      <c r="M41" s="169"/>
    </row>
    <row r="42" spans="1:13" ht="35.1" customHeight="1" thickTop="1" thickBot="1">
      <c r="A42" s="169"/>
      <c r="B42" s="167"/>
      <c r="C42" s="151" t="s">
        <v>190</v>
      </c>
      <c r="D42" s="151" t="s">
        <v>191</v>
      </c>
      <c r="E42" s="150" t="s">
        <v>310</v>
      </c>
      <c r="F42" s="150" t="s">
        <v>106</v>
      </c>
      <c r="G42" s="150">
        <v>120</v>
      </c>
      <c r="H42" s="150">
        <v>0</v>
      </c>
      <c r="I42" s="150">
        <v>0</v>
      </c>
      <c r="J42" s="150">
        <v>0</v>
      </c>
      <c r="K42" s="150">
        <v>0</v>
      </c>
      <c r="L42" s="152">
        <f>SUM(G42:K42)</f>
        <v>120</v>
      </c>
      <c r="M42" s="169"/>
    </row>
    <row r="43" spans="1:13" ht="35.1" customHeight="1" thickTop="1" thickBot="1">
      <c r="A43" s="169"/>
      <c r="B43" s="167"/>
      <c r="C43" s="151" t="s">
        <v>297</v>
      </c>
      <c r="D43" s="151" t="s">
        <v>304</v>
      </c>
      <c r="E43" s="150" t="s">
        <v>185</v>
      </c>
      <c r="F43" s="150" t="s">
        <v>106</v>
      </c>
      <c r="G43" s="150">
        <v>0</v>
      </c>
      <c r="H43" s="150">
        <v>0</v>
      </c>
      <c r="I43" s="150">
        <v>0</v>
      </c>
      <c r="J43" s="150">
        <v>0</v>
      </c>
      <c r="K43" s="150">
        <v>120</v>
      </c>
      <c r="L43" s="152">
        <f>SUM(G43:K43)</f>
        <v>120</v>
      </c>
      <c r="M43" s="169"/>
    </row>
    <row r="44" spans="1:13" ht="35.1" customHeight="1" thickTop="1" thickBot="1">
      <c r="A44" s="169"/>
      <c r="B44" s="167"/>
      <c r="C44" s="151" t="s">
        <v>298</v>
      </c>
      <c r="D44" s="151" t="s">
        <v>305</v>
      </c>
      <c r="E44" s="150" t="s">
        <v>107</v>
      </c>
      <c r="F44" s="150" t="s">
        <v>106</v>
      </c>
      <c r="G44" s="150">
        <v>0</v>
      </c>
      <c r="H44" s="150">
        <v>0</v>
      </c>
      <c r="I44" s="150">
        <v>0</v>
      </c>
      <c r="J44" s="150">
        <v>0</v>
      </c>
      <c r="K44" s="150">
        <v>120</v>
      </c>
      <c r="L44" s="152">
        <f>SUM(G44:K44)</f>
        <v>120</v>
      </c>
      <c r="M44" s="169"/>
    </row>
    <row r="45" spans="1:13" ht="35.1" customHeight="1" thickTop="1" thickBot="1">
      <c r="A45" s="169"/>
      <c r="B45" s="167"/>
      <c r="C45" s="151" t="s">
        <v>202</v>
      </c>
      <c r="D45" s="151" t="s">
        <v>203</v>
      </c>
      <c r="E45" s="150" t="s">
        <v>204</v>
      </c>
      <c r="F45" s="150" t="s">
        <v>106</v>
      </c>
      <c r="G45" s="150">
        <v>0</v>
      </c>
      <c r="H45" s="150">
        <v>0</v>
      </c>
      <c r="I45" s="150">
        <v>0</v>
      </c>
      <c r="J45" s="150">
        <v>120</v>
      </c>
      <c r="K45" s="150">
        <v>0</v>
      </c>
      <c r="L45" s="152">
        <f>SUM(G45:K45)</f>
        <v>120</v>
      </c>
      <c r="M45" s="169"/>
    </row>
    <row r="46" spans="1:13" ht="35.1" customHeight="1" thickTop="1" thickBot="1">
      <c r="A46" s="169"/>
      <c r="B46" s="167"/>
      <c r="C46" s="151" t="s">
        <v>296</v>
      </c>
      <c r="D46" s="151" t="s">
        <v>306</v>
      </c>
      <c r="E46" s="150" t="s">
        <v>185</v>
      </c>
      <c r="F46" s="150" t="s">
        <v>106</v>
      </c>
      <c r="G46" s="150">
        <v>0</v>
      </c>
      <c r="H46" s="150">
        <v>0</v>
      </c>
      <c r="I46" s="150">
        <v>0</v>
      </c>
      <c r="J46" s="150">
        <v>0</v>
      </c>
      <c r="K46" s="150">
        <v>120</v>
      </c>
      <c r="L46" s="152">
        <f>SUM(G46:K46)</f>
        <v>120</v>
      </c>
      <c r="M46" s="169"/>
    </row>
    <row r="47" spans="1:13" ht="35.1" customHeight="1" thickTop="1" thickBot="1">
      <c r="A47" s="169"/>
      <c r="B47" s="167"/>
      <c r="C47" s="151" t="s">
        <v>192</v>
      </c>
      <c r="D47" s="151" t="s">
        <v>193</v>
      </c>
      <c r="E47" s="150" t="s">
        <v>107</v>
      </c>
      <c r="F47" s="150" t="s">
        <v>106</v>
      </c>
      <c r="G47" s="150">
        <v>0</v>
      </c>
      <c r="H47" s="150">
        <v>0</v>
      </c>
      <c r="I47" s="150">
        <v>120</v>
      </c>
      <c r="J47" s="150">
        <v>0</v>
      </c>
      <c r="K47" s="150">
        <v>0</v>
      </c>
      <c r="L47" s="152">
        <f>SUM(G47:K47)</f>
        <v>120</v>
      </c>
      <c r="M47" s="169"/>
    </row>
    <row r="48" spans="1:13" ht="35.1" customHeight="1" thickTop="1" thickBot="1">
      <c r="A48" s="169"/>
      <c r="B48" s="167"/>
      <c r="C48" s="151" t="s">
        <v>299</v>
      </c>
      <c r="D48" s="151" t="s">
        <v>309</v>
      </c>
      <c r="E48" s="150" t="s">
        <v>310</v>
      </c>
      <c r="F48" s="150" t="s">
        <v>106</v>
      </c>
      <c r="G48" s="150">
        <v>0</v>
      </c>
      <c r="H48" s="150">
        <v>0</v>
      </c>
      <c r="I48" s="150">
        <v>0</v>
      </c>
      <c r="J48" s="150">
        <v>0</v>
      </c>
      <c r="K48" s="150">
        <v>120</v>
      </c>
      <c r="L48" s="152">
        <f>SUM(G48:K48)</f>
        <v>120</v>
      </c>
      <c r="M48" s="169"/>
    </row>
    <row r="49" spans="1:13" ht="35.1" customHeight="1" thickTop="1" thickBot="1">
      <c r="A49" s="169"/>
      <c r="B49" s="167"/>
      <c r="C49" s="151" t="s">
        <v>208</v>
      </c>
      <c r="D49" s="151" t="s">
        <v>209</v>
      </c>
      <c r="E49" s="150" t="s">
        <v>107</v>
      </c>
      <c r="F49" s="150" t="s">
        <v>106</v>
      </c>
      <c r="G49" s="150">
        <v>0</v>
      </c>
      <c r="H49" s="150">
        <v>0</v>
      </c>
      <c r="I49" s="150">
        <v>120</v>
      </c>
      <c r="J49" s="150">
        <v>0</v>
      </c>
      <c r="K49" s="150">
        <v>0</v>
      </c>
      <c r="L49" s="152">
        <f>SUM(G49:K49)</f>
        <v>120</v>
      </c>
      <c r="M49" s="169"/>
    </row>
    <row r="50" spans="1:13" ht="35.1" customHeight="1" thickTop="1" thickBot="1">
      <c r="A50" s="169"/>
      <c r="B50" s="167"/>
      <c r="C50" s="151" t="s">
        <v>194</v>
      </c>
      <c r="D50" s="151" t="s">
        <v>195</v>
      </c>
      <c r="E50" s="150" t="s">
        <v>107</v>
      </c>
      <c r="F50" s="150" t="s">
        <v>106</v>
      </c>
      <c r="G50" s="150">
        <v>0</v>
      </c>
      <c r="H50" s="150">
        <v>0</v>
      </c>
      <c r="I50" s="150">
        <v>0</v>
      </c>
      <c r="J50" s="150">
        <v>120</v>
      </c>
      <c r="K50" s="150">
        <v>0</v>
      </c>
      <c r="L50" s="152">
        <f>SUM(G50:K50)</f>
        <v>120</v>
      </c>
      <c r="M50" s="169"/>
    </row>
    <row r="51" spans="1:13" ht="35.1" customHeight="1" thickTop="1" thickBot="1">
      <c r="A51" s="169"/>
      <c r="B51" s="167"/>
      <c r="C51" s="151" t="s">
        <v>210</v>
      </c>
      <c r="D51" s="151" t="s">
        <v>211</v>
      </c>
      <c r="E51" s="150" t="s">
        <v>107</v>
      </c>
      <c r="F51" s="150" t="s">
        <v>106</v>
      </c>
      <c r="G51" s="150">
        <v>120</v>
      </c>
      <c r="H51" s="150">
        <v>0</v>
      </c>
      <c r="I51" s="150">
        <v>0</v>
      </c>
      <c r="J51" s="150">
        <v>0</v>
      </c>
      <c r="K51" s="150">
        <v>0</v>
      </c>
      <c r="L51" s="152">
        <f>SUM(G51:K51)</f>
        <v>120</v>
      </c>
      <c r="M51" s="169"/>
    </row>
    <row r="52" spans="1:13" ht="35.1" customHeight="1" thickTop="1" thickBot="1">
      <c r="A52" s="169"/>
      <c r="B52" s="167"/>
      <c r="C52" s="151" t="s">
        <v>308</v>
      </c>
      <c r="D52" s="151" t="s">
        <v>307</v>
      </c>
      <c r="E52" s="150" t="s">
        <v>107</v>
      </c>
      <c r="F52" s="150" t="s">
        <v>106</v>
      </c>
      <c r="G52" s="150">
        <v>0</v>
      </c>
      <c r="H52" s="150">
        <v>0</v>
      </c>
      <c r="I52" s="150">
        <v>0</v>
      </c>
      <c r="J52" s="150">
        <v>0</v>
      </c>
      <c r="K52" s="150">
        <v>120</v>
      </c>
      <c r="L52" s="152">
        <f>SUM(G52:K52)</f>
        <v>120</v>
      </c>
      <c r="M52" s="169"/>
    </row>
    <row r="53" spans="1:13" ht="35.1" customHeight="1" thickTop="1" thickBot="1">
      <c r="A53" s="169"/>
      <c r="B53" s="167"/>
      <c r="C53" s="151" t="s">
        <v>212</v>
      </c>
      <c r="D53" s="151" t="s">
        <v>213</v>
      </c>
      <c r="E53" s="150" t="s">
        <v>107</v>
      </c>
      <c r="F53" s="150" t="s">
        <v>106</v>
      </c>
      <c r="G53" s="150">
        <v>0</v>
      </c>
      <c r="H53" s="150">
        <v>0</v>
      </c>
      <c r="I53" s="150">
        <v>120</v>
      </c>
      <c r="J53" s="150">
        <v>0</v>
      </c>
      <c r="K53" s="150">
        <v>0</v>
      </c>
      <c r="L53" s="152">
        <f>SUM(G53:K53)</f>
        <v>120</v>
      </c>
      <c r="M53" s="169"/>
    </row>
    <row r="54" spans="1:13" ht="35.1" customHeight="1" thickTop="1" thickBot="1">
      <c r="A54" s="169"/>
      <c r="B54" s="167"/>
      <c r="C54" s="151" t="s">
        <v>196</v>
      </c>
      <c r="D54" s="151" t="s">
        <v>197</v>
      </c>
      <c r="E54" s="150" t="s">
        <v>198</v>
      </c>
      <c r="F54" s="150" t="s">
        <v>106</v>
      </c>
      <c r="G54" s="150">
        <v>0</v>
      </c>
      <c r="H54" s="150">
        <v>0</v>
      </c>
      <c r="I54" s="150">
        <v>0</v>
      </c>
      <c r="J54" s="150">
        <v>120</v>
      </c>
      <c r="K54" s="150">
        <v>0</v>
      </c>
      <c r="L54" s="152">
        <f>SUM(G54:K54)</f>
        <v>120</v>
      </c>
      <c r="M54" s="169"/>
    </row>
    <row r="55" spans="1:13" ht="35.1" customHeight="1" thickTop="1" thickBot="1">
      <c r="A55" s="169"/>
      <c r="B55" s="168"/>
      <c r="C55" s="151" t="s">
        <v>214</v>
      </c>
      <c r="D55" s="151" t="s">
        <v>215</v>
      </c>
      <c r="E55" s="378" t="s">
        <v>310</v>
      </c>
      <c r="F55" s="150" t="s">
        <v>106</v>
      </c>
      <c r="G55" s="150">
        <v>0</v>
      </c>
      <c r="H55" s="150">
        <v>120</v>
      </c>
      <c r="I55" s="150">
        <v>0</v>
      </c>
      <c r="J55" s="150">
        <v>0</v>
      </c>
      <c r="K55" s="150">
        <v>0</v>
      </c>
      <c r="L55" s="152">
        <f>SUM(G55:K55)</f>
        <v>120</v>
      </c>
      <c r="M55" s="169"/>
    </row>
    <row r="56" spans="1:13" ht="35.1" customHeight="1" thickTop="1" thickBot="1">
      <c r="A56" s="169"/>
      <c r="B56" s="163">
        <v>22</v>
      </c>
      <c r="C56" s="154" t="s">
        <v>216</v>
      </c>
      <c r="D56" s="154" t="s">
        <v>217</v>
      </c>
      <c r="E56" s="379" t="s">
        <v>107</v>
      </c>
      <c r="F56" s="153" t="s">
        <v>218</v>
      </c>
      <c r="G56" s="153">
        <v>0</v>
      </c>
      <c r="H56" s="153">
        <v>100</v>
      </c>
      <c r="I56" s="153">
        <v>0</v>
      </c>
      <c r="J56" s="153">
        <v>0</v>
      </c>
      <c r="K56" s="153">
        <v>0</v>
      </c>
      <c r="L56" s="155">
        <f>SUM(G56:K56)</f>
        <v>100</v>
      </c>
      <c r="M56" s="169"/>
    </row>
    <row r="57" spans="1:13" ht="35.1" customHeight="1" thickTop="1" thickBot="1">
      <c r="A57" s="169"/>
      <c r="B57" s="164"/>
      <c r="C57" s="154" t="s">
        <v>219</v>
      </c>
      <c r="D57" s="154" t="s">
        <v>217</v>
      </c>
      <c r="E57" s="153" t="s">
        <v>220</v>
      </c>
      <c r="F57" s="153" t="s">
        <v>106</v>
      </c>
      <c r="G57" s="153">
        <v>100</v>
      </c>
      <c r="H57" s="153">
        <v>0</v>
      </c>
      <c r="I57" s="153">
        <v>0</v>
      </c>
      <c r="J57" s="153">
        <v>0</v>
      </c>
      <c r="K57" s="153">
        <v>0</v>
      </c>
      <c r="L57" s="155">
        <f>SUM(G57:K57)</f>
        <v>100</v>
      </c>
      <c r="M57" s="169"/>
    </row>
    <row r="58" spans="1:13" ht="35.1" customHeight="1" thickTop="1" thickBot="1">
      <c r="A58" s="169"/>
      <c r="B58" s="164"/>
      <c r="C58" s="154" t="s">
        <v>221</v>
      </c>
      <c r="D58" s="154" t="s">
        <v>222</v>
      </c>
      <c r="E58" s="153" t="s">
        <v>223</v>
      </c>
      <c r="F58" s="153" t="s">
        <v>119</v>
      </c>
      <c r="G58" s="153">
        <v>0</v>
      </c>
      <c r="H58" s="153">
        <v>0</v>
      </c>
      <c r="I58" s="153">
        <v>100</v>
      </c>
      <c r="J58" s="153">
        <v>0</v>
      </c>
      <c r="K58" s="153">
        <v>0</v>
      </c>
      <c r="L58" s="155">
        <f>SUM(G58:K58)</f>
        <v>100</v>
      </c>
      <c r="M58" s="169"/>
    </row>
    <row r="59" spans="1:13" ht="35.1" customHeight="1" thickTop="1" thickBot="1">
      <c r="A59" s="169"/>
      <c r="B59" s="164"/>
      <c r="C59" s="154" t="s">
        <v>224</v>
      </c>
      <c r="D59" s="154" t="s">
        <v>225</v>
      </c>
      <c r="E59" s="153" t="s">
        <v>226</v>
      </c>
      <c r="F59" s="153" t="s">
        <v>106</v>
      </c>
      <c r="G59" s="153">
        <v>0</v>
      </c>
      <c r="H59" s="153">
        <v>100</v>
      </c>
      <c r="I59" s="153">
        <v>0</v>
      </c>
      <c r="J59" s="153">
        <v>0</v>
      </c>
      <c r="K59" s="153">
        <v>0</v>
      </c>
      <c r="L59" s="155">
        <f>SUM(G59:K59)</f>
        <v>100</v>
      </c>
      <c r="M59" s="169"/>
    </row>
    <row r="60" spans="1:13" ht="35.1" customHeight="1" thickTop="1" thickBot="1">
      <c r="A60" s="169"/>
      <c r="B60" s="164"/>
      <c r="C60" s="154" t="s">
        <v>227</v>
      </c>
      <c r="D60" s="154" t="s">
        <v>228</v>
      </c>
      <c r="E60" s="153" t="s">
        <v>107</v>
      </c>
      <c r="F60" s="153" t="s">
        <v>106</v>
      </c>
      <c r="G60" s="153">
        <v>100</v>
      </c>
      <c r="H60" s="153">
        <v>0</v>
      </c>
      <c r="I60" s="153">
        <v>0</v>
      </c>
      <c r="J60" s="153">
        <v>0</v>
      </c>
      <c r="K60" s="153">
        <v>0</v>
      </c>
      <c r="L60" s="155">
        <f>SUM(G60:K60)</f>
        <v>100</v>
      </c>
      <c r="M60" s="169"/>
    </row>
    <row r="61" spans="1:13" ht="35.1" customHeight="1" thickTop="1" thickBot="1">
      <c r="A61" s="169"/>
      <c r="B61" s="164"/>
      <c r="C61" s="154" t="s">
        <v>229</v>
      </c>
      <c r="D61" s="154" t="s">
        <v>230</v>
      </c>
      <c r="E61" s="153" t="s">
        <v>185</v>
      </c>
      <c r="F61" s="153" t="s">
        <v>106</v>
      </c>
      <c r="G61" s="153">
        <v>0</v>
      </c>
      <c r="H61" s="153">
        <v>100</v>
      </c>
      <c r="I61" s="153">
        <v>0</v>
      </c>
      <c r="J61" s="153">
        <v>0</v>
      </c>
      <c r="K61" s="153">
        <v>0</v>
      </c>
      <c r="L61" s="155">
        <f>SUM(G61:K61)</f>
        <v>100</v>
      </c>
      <c r="M61" s="169"/>
    </row>
    <row r="62" spans="1:13" ht="35.1" customHeight="1" thickTop="1" thickBot="1">
      <c r="A62" s="169"/>
      <c r="B62" s="164"/>
      <c r="C62" s="154" t="s">
        <v>231</v>
      </c>
      <c r="D62" s="154" t="s">
        <v>232</v>
      </c>
      <c r="E62" s="153" t="s">
        <v>107</v>
      </c>
      <c r="F62" s="153" t="s">
        <v>106</v>
      </c>
      <c r="G62" s="153">
        <v>100</v>
      </c>
      <c r="H62" s="153">
        <v>0</v>
      </c>
      <c r="I62" s="153">
        <v>0</v>
      </c>
      <c r="J62" s="153">
        <v>0</v>
      </c>
      <c r="K62" s="153">
        <v>0</v>
      </c>
      <c r="L62" s="155">
        <f>SUM(G62:K62)</f>
        <v>100</v>
      </c>
      <c r="M62" s="169"/>
    </row>
    <row r="63" spans="1:13" ht="35.1" customHeight="1" thickTop="1" thickBot="1">
      <c r="A63" s="169"/>
      <c r="B63" s="164"/>
      <c r="C63" s="154" t="s">
        <v>233</v>
      </c>
      <c r="D63" s="154" t="s">
        <v>234</v>
      </c>
      <c r="E63" s="153" t="s">
        <v>107</v>
      </c>
      <c r="F63" s="153" t="s">
        <v>106</v>
      </c>
      <c r="G63" s="153">
        <v>100</v>
      </c>
      <c r="H63" s="153">
        <v>0</v>
      </c>
      <c r="I63" s="153">
        <v>0</v>
      </c>
      <c r="J63" s="153">
        <v>0</v>
      </c>
      <c r="K63" s="153">
        <v>0</v>
      </c>
      <c r="L63" s="155">
        <f>SUM(G63:K63)</f>
        <v>100</v>
      </c>
      <c r="M63" s="169"/>
    </row>
    <row r="64" spans="1:13" ht="35.1" customHeight="1" thickTop="1" thickBot="1">
      <c r="A64" s="169"/>
      <c r="B64" s="164"/>
      <c r="C64" s="154" t="s">
        <v>235</v>
      </c>
      <c r="D64" s="154" t="s">
        <v>236</v>
      </c>
      <c r="E64" s="153" t="s">
        <v>150</v>
      </c>
      <c r="F64" s="153" t="s">
        <v>106</v>
      </c>
      <c r="G64" s="153">
        <v>100</v>
      </c>
      <c r="H64" s="153">
        <v>0</v>
      </c>
      <c r="I64" s="153">
        <v>0</v>
      </c>
      <c r="J64" s="153">
        <v>0</v>
      </c>
      <c r="K64" s="153">
        <v>0</v>
      </c>
      <c r="L64" s="155">
        <f>SUM(G64:K64)</f>
        <v>100</v>
      </c>
      <c r="M64" s="169"/>
    </row>
    <row r="65" spans="1:13" ht="35.1" customHeight="1" thickTop="1" thickBot="1">
      <c r="A65" s="169"/>
      <c r="B65" s="164"/>
      <c r="C65" s="154" t="s">
        <v>237</v>
      </c>
      <c r="D65" s="154" t="s">
        <v>238</v>
      </c>
      <c r="E65" s="153" t="s">
        <v>207</v>
      </c>
      <c r="F65" s="153" t="s">
        <v>119</v>
      </c>
      <c r="G65" s="153">
        <v>0</v>
      </c>
      <c r="H65" s="153">
        <v>0</v>
      </c>
      <c r="I65" s="153">
        <v>100</v>
      </c>
      <c r="J65" s="153">
        <v>0</v>
      </c>
      <c r="K65" s="153">
        <v>0</v>
      </c>
      <c r="L65" s="155">
        <f>SUM(G65:K65)</f>
        <v>100</v>
      </c>
      <c r="M65" s="169"/>
    </row>
    <row r="66" spans="1:13" ht="35.1" customHeight="1" thickTop="1" thickBot="1">
      <c r="A66" s="169"/>
      <c r="B66" s="164"/>
      <c r="C66" s="154" t="s">
        <v>239</v>
      </c>
      <c r="D66" s="154" t="s">
        <v>240</v>
      </c>
      <c r="E66" s="153" t="s">
        <v>185</v>
      </c>
      <c r="F66" s="153" t="s">
        <v>106</v>
      </c>
      <c r="G66" s="153">
        <v>0</v>
      </c>
      <c r="H66" s="153">
        <v>100</v>
      </c>
      <c r="I66" s="153">
        <v>0</v>
      </c>
      <c r="J66" s="153">
        <v>0</v>
      </c>
      <c r="K66" s="153">
        <v>0</v>
      </c>
      <c r="L66" s="155">
        <f>SUM(G66:K66)</f>
        <v>100</v>
      </c>
      <c r="M66" s="169"/>
    </row>
    <row r="67" spans="1:13" ht="35.1" customHeight="1" thickTop="1" thickBot="1">
      <c r="A67" s="169"/>
      <c r="B67" s="164"/>
      <c r="C67" s="154" t="s">
        <v>241</v>
      </c>
      <c r="D67" s="154" t="s">
        <v>242</v>
      </c>
      <c r="E67" s="153" t="s">
        <v>207</v>
      </c>
      <c r="F67" s="153" t="s">
        <v>119</v>
      </c>
      <c r="G67" s="153">
        <v>0</v>
      </c>
      <c r="H67" s="153">
        <v>0</v>
      </c>
      <c r="I67" s="153">
        <v>100</v>
      </c>
      <c r="J67" s="153">
        <v>0</v>
      </c>
      <c r="K67" s="153">
        <v>0</v>
      </c>
      <c r="L67" s="155">
        <f>SUM(G67:K67)</f>
        <v>100</v>
      </c>
      <c r="M67" s="169"/>
    </row>
    <row r="68" spans="1:13" ht="35.1" customHeight="1" thickTop="1" thickBot="1">
      <c r="A68" s="169"/>
      <c r="B68" s="164"/>
      <c r="C68" s="154" t="s">
        <v>243</v>
      </c>
      <c r="D68" s="154" t="s">
        <v>244</v>
      </c>
      <c r="E68" s="153" t="s">
        <v>107</v>
      </c>
      <c r="F68" s="153" t="s">
        <v>106</v>
      </c>
      <c r="G68" s="153">
        <v>0</v>
      </c>
      <c r="H68" s="153">
        <v>0</v>
      </c>
      <c r="I68" s="153">
        <v>100</v>
      </c>
      <c r="J68" s="153">
        <v>0</v>
      </c>
      <c r="K68" s="153">
        <v>0</v>
      </c>
      <c r="L68" s="155">
        <f>SUM(G68:K68)</f>
        <v>100</v>
      </c>
      <c r="M68" s="169"/>
    </row>
    <row r="69" spans="1:13" ht="35.1" customHeight="1" thickTop="1" thickBot="1">
      <c r="A69" s="169"/>
      <c r="B69" s="164"/>
      <c r="C69" s="154" t="s">
        <v>245</v>
      </c>
      <c r="D69" s="154" t="s">
        <v>246</v>
      </c>
      <c r="E69" s="153" t="s">
        <v>150</v>
      </c>
      <c r="F69" s="153" t="s">
        <v>106</v>
      </c>
      <c r="G69" s="153">
        <v>0</v>
      </c>
      <c r="H69" s="153">
        <v>0</v>
      </c>
      <c r="I69" s="153">
        <v>0</v>
      </c>
      <c r="J69" s="153">
        <v>100</v>
      </c>
      <c r="K69" s="153">
        <v>0</v>
      </c>
      <c r="L69" s="155">
        <f>SUM(G69:K69)</f>
        <v>100</v>
      </c>
      <c r="M69" s="169"/>
    </row>
    <row r="70" spans="1:13" ht="35.1" customHeight="1" thickTop="1" thickBot="1">
      <c r="A70" s="169"/>
      <c r="B70" s="164"/>
      <c r="C70" s="154" t="s">
        <v>247</v>
      </c>
      <c r="D70" s="154" t="s">
        <v>248</v>
      </c>
      <c r="E70" s="153" t="s">
        <v>249</v>
      </c>
      <c r="F70" s="153" t="s">
        <v>106</v>
      </c>
      <c r="G70" s="153">
        <v>0</v>
      </c>
      <c r="H70" s="153">
        <v>0</v>
      </c>
      <c r="I70" s="153">
        <v>100</v>
      </c>
      <c r="J70" s="153">
        <v>0</v>
      </c>
      <c r="K70" s="153">
        <v>0</v>
      </c>
      <c r="L70" s="155">
        <f>SUM(G70:K70)</f>
        <v>100</v>
      </c>
      <c r="M70" s="169"/>
    </row>
    <row r="71" spans="1:13" ht="35.1" customHeight="1" thickTop="1" thickBot="1">
      <c r="A71" s="169"/>
      <c r="B71" s="164"/>
      <c r="C71" s="154" t="s">
        <v>250</v>
      </c>
      <c r="D71" s="154" t="s">
        <v>251</v>
      </c>
      <c r="E71" s="153" t="s">
        <v>180</v>
      </c>
      <c r="F71" s="153" t="s">
        <v>106</v>
      </c>
      <c r="G71" s="153">
        <v>0</v>
      </c>
      <c r="H71" s="153">
        <v>0</v>
      </c>
      <c r="I71" s="153">
        <v>100</v>
      </c>
      <c r="J71" s="153">
        <v>0</v>
      </c>
      <c r="K71" s="153">
        <v>0</v>
      </c>
      <c r="L71" s="155">
        <f>SUM(G71:K71)</f>
        <v>100</v>
      </c>
      <c r="M71" s="169"/>
    </row>
    <row r="72" spans="1:13" ht="35.1" customHeight="1" thickTop="1" thickBot="1">
      <c r="A72" s="169"/>
      <c r="B72" s="164"/>
      <c r="C72" s="154" t="s">
        <v>252</v>
      </c>
      <c r="D72" s="154" t="s">
        <v>253</v>
      </c>
      <c r="E72" s="153" t="s">
        <v>249</v>
      </c>
      <c r="F72" s="153" t="s">
        <v>106</v>
      </c>
      <c r="G72" s="153">
        <v>0</v>
      </c>
      <c r="H72" s="153">
        <v>0</v>
      </c>
      <c r="I72" s="153">
        <v>100</v>
      </c>
      <c r="J72" s="153">
        <v>0</v>
      </c>
      <c r="K72" s="153">
        <v>0</v>
      </c>
      <c r="L72" s="155">
        <f>SUM(G72:K72)</f>
        <v>100</v>
      </c>
      <c r="M72" s="169"/>
    </row>
    <row r="73" spans="1:13" ht="35.1" customHeight="1" thickTop="1" thickBot="1">
      <c r="A73" s="169"/>
      <c r="B73" s="164"/>
      <c r="C73" s="154" t="s">
        <v>254</v>
      </c>
      <c r="D73" s="154" t="s">
        <v>255</v>
      </c>
      <c r="E73" s="153" t="s">
        <v>107</v>
      </c>
      <c r="F73" s="153" t="s">
        <v>106</v>
      </c>
      <c r="G73" s="153">
        <v>0</v>
      </c>
      <c r="H73" s="153">
        <v>0</v>
      </c>
      <c r="I73" s="153">
        <v>100</v>
      </c>
      <c r="J73" s="153">
        <v>0</v>
      </c>
      <c r="K73" s="153">
        <v>0</v>
      </c>
      <c r="L73" s="155">
        <f>SUM(G73:K73)</f>
        <v>100</v>
      </c>
      <c r="M73" s="169"/>
    </row>
    <row r="74" spans="1:13" ht="35.1" customHeight="1" thickTop="1" thickBot="1">
      <c r="A74" s="169"/>
      <c r="B74" s="164"/>
      <c r="C74" s="154" t="s">
        <v>256</v>
      </c>
      <c r="D74" s="154" t="s">
        <v>257</v>
      </c>
      <c r="E74" s="153" t="s">
        <v>258</v>
      </c>
      <c r="F74" s="153" t="s">
        <v>106</v>
      </c>
      <c r="G74" s="153">
        <v>0</v>
      </c>
      <c r="H74" s="153">
        <v>100</v>
      </c>
      <c r="I74" s="153">
        <v>0</v>
      </c>
      <c r="J74" s="153">
        <v>0</v>
      </c>
      <c r="K74" s="153">
        <v>0</v>
      </c>
      <c r="L74" s="155">
        <f>SUM(G74:K74)</f>
        <v>100</v>
      </c>
      <c r="M74" s="169"/>
    </row>
    <row r="75" spans="1:13" ht="35.1" customHeight="1" thickTop="1" thickBot="1">
      <c r="A75" s="169"/>
      <c r="B75" s="165"/>
      <c r="C75" s="154" t="s">
        <v>259</v>
      </c>
      <c r="D75" s="154" t="s">
        <v>260</v>
      </c>
      <c r="E75" s="153" t="s">
        <v>150</v>
      </c>
      <c r="F75" s="153" t="s">
        <v>106</v>
      </c>
      <c r="G75" s="153">
        <v>0</v>
      </c>
      <c r="H75" s="153">
        <v>0</v>
      </c>
      <c r="I75" s="153">
        <v>0</v>
      </c>
      <c r="J75" s="153">
        <v>100</v>
      </c>
      <c r="K75" s="153">
        <v>0</v>
      </c>
      <c r="L75" s="155">
        <f>SUM(G75:K75)</f>
        <v>100</v>
      </c>
      <c r="M75" s="169"/>
    </row>
    <row r="76" spans="1:13" ht="9.9499999999999993" customHeight="1" thickTop="1" thickBot="1">
      <c r="A76" s="169"/>
      <c r="B76" s="169"/>
      <c r="C76" s="169"/>
      <c r="D76" s="169"/>
      <c r="E76" s="169"/>
      <c r="F76" s="169"/>
      <c r="G76" s="169"/>
      <c r="H76" s="169"/>
      <c r="I76" s="169"/>
      <c r="J76" s="169"/>
      <c r="K76" s="169"/>
      <c r="L76" s="169"/>
      <c r="M76" s="169"/>
    </row>
    <row r="77" spans="1:13" ht="15.75" thickTop="1"/>
  </sheetData>
  <sortState xmlns:xlrd2="http://schemas.microsoft.com/office/spreadsheetml/2017/richdata2" ref="C38:L55">
    <sortCondition ref="C38:C55"/>
  </sortState>
  <mergeCells count="21">
    <mergeCell ref="B19:B20"/>
    <mergeCell ref="B23:B25"/>
    <mergeCell ref="B26:B29"/>
    <mergeCell ref="B30:B31"/>
    <mergeCell ref="A1:M1"/>
    <mergeCell ref="A2:A76"/>
    <mergeCell ref="B2:L2"/>
    <mergeCell ref="M2:M76"/>
    <mergeCell ref="B3:L3"/>
    <mergeCell ref="B4:L4"/>
    <mergeCell ref="B5:B6"/>
    <mergeCell ref="C5:C6"/>
    <mergeCell ref="D5:D6"/>
    <mergeCell ref="E5:E6"/>
    <mergeCell ref="F5:F6"/>
    <mergeCell ref="L5:L6"/>
    <mergeCell ref="B7:B8"/>
    <mergeCell ref="B56:B75"/>
    <mergeCell ref="B76:L76"/>
    <mergeCell ref="B33:B36"/>
    <mergeCell ref="B38:B55"/>
  </mergeCells>
  <printOptions horizontalCentered="1"/>
  <pageMargins left="0.19685039370078741" right="0.19685039370078741" top="0.19685039370078741" bottom="0.19685039370078741" header="0" footer="0"/>
  <pageSetup paperSize="9" scale="5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176A-F0B9-4E52-A302-D1B511C7BA6C}">
  <sheetPr>
    <pageSetUpPr fitToPage="1"/>
  </sheetPr>
  <dimension ref="A1:I37"/>
  <sheetViews>
    <sheetView showGridLines="0" zoomScale="85" zoomScaleNormal="85" workbookViewId="0">
      <selection activeCell="A37" sqref="A1:I37"/>
    </sheetView>
  </sheetViews>
  <sheetFormatPr defaultRowHeight="15"/>
  <cols>
    <col min="1" max="1" width="1.7109375" customWidth="1"/>
    <col min="2" max="2" width="6.42578125" customWidth="1"/>
    <col min="3" max="3" width="37.7109375" customWidth="1"/>
    <col min="4" max="4" width="30.7109375" customWidth="1"/>
    <col min="5" max="5" width="1.7109375" customWidth="1"/>
    <col min="6" max="6" width="10.7109375" customWidth="1"/>
    <col min="7" max="7" width="34.42578125" customWidth="1"/>
    <col min="8" max="8" width="41.85546875" customWidth="1"/>
    <col min="9" max="9" width="1.7109375" customWidth="1"/>
  </cols>
  <sheetData>
    <row r="1" spans="1:9" ht="9.9499999999999993" customHeight="1" thickBot="1">
      <c r="A1" s="209"/>
      <c r="B1" s="210"/>
      <c r="C1" s="210"/>
      <c r="D1" s="210"/>
      <c r="E1" s="210"/>
      <c r="F1" s="210"/>
      <c r="G1" s="210"/>
      <c r="H1" s="210"/>
      <c r="I1" s="211"/>
    </row>
    <row r="2" spans="1:9" ht="69.95" customHeight="1" thickBot="1">
      <c r="A2" s="251"/>
      <c r="B2" s="212" t="s">
        <v>97</v>
      </c>
      <c r="C2" s="213"/>
      <c r="D2" s="213"/>
      <c r="E2" s="213"/>
      <c r="F2" s="213"/>
      <c r="G2" s="213"/>
      <c r="H2" s="214"/>
      <c r="I2" s="252"/>
    </row>
    <row r="3" spans="1:9" ht="9.9499999999999993" customHeight="1" thickBot="1">
      <c r="A3" s="251"/>
      <c r="B3" s="215"/>
      <c r="C3" s="215"/>
      <c r="D3" s="215"/>
      <c r="E3" s="215"/>
      <c r="F3" s="215"/>
      <c r="G3" s="215"/>
      <c r="H3" s="215"/>
      <c r="I3" s="252"/>
    </row>
    <row r="4" spans="1:9" ht="50.1" customHeight="1" thickBot="1">
      <c r="A4" s="251"/>
      <c r="B4" s="216" t="s">
        <v>35</v>
      </c>
      <c r="C4" s="217"/>
      <c r="D4" s="217"/>
      <c r="E4" s="217"/>
      <c r="F4" s="217"/>
      <c r="G4" s="217"/>
      <c r="H4" s="218"/>
      <c r="I4" s="252"/>
    </row>
    <row r="5" spans="1:9" ht="9.9499999999999993" customHeight="1" thickBot="1">
      <c r="A5" s="251"/>
      <c r="B5" s="219"/>
      <c r="C5" s="219"/>
      <c r="D5" s="219"/>
      <c r="E5" s="219"/>
      <c r="F5" s="219"/>
      <c r="G5" s="219"/>
      <c r="H5" s="219"/>
      <c r="I5" s="252"/>
    </row>
    <row r="6" spans="1:9" ht="30" customHeight="1" thickBot="1">
      <c r="A6" s="251"/>
      <c r="B6" s="222" t="s">
        <v>261</v>
      </c>
      <c r="C6" s="223"/>
      <c r="D6" s="224" t="s">
        <v>125</v>
      </c>
      <c r="E6" s="225"/>
      <c r="F6" s="225"/>
      <c r="G6" s="226"/>
      <c r="H6" s="138" t="s">
        <v>262</v>
      </c>
      <c r="I6" s="252"/>
    </row>
    <row r="7" spans="1:9" ht="30" customHeight="1" thickBot="1">
      <c r="A7" s="251"/>
      <c r="B7" s="255" t="s">
        <v>108</v>
      </c>
      <c r="C7" s="256"/>
      <c r="D7" s="227"/>
      <c r="E7" s="228"/>
      <c r="F7" s="228"/>
      <c r="G7" s="229"/>
      <c r="H7" s="68" t="s">
        <v>263</v>
      </c>
      <c r="I7" s="252"/>
    </row>
    <row r="8" spans="1:9" ht="9.9499999999999993" customHeight="1" thickBot="1">
      <c r="A8" s="251"/>
      <c r="B8" s="253"/>
      <c r="C8" s="253"/>
      <c r="D8" s="253"/>
      <c r="E8" s="253"/>
      <c r="F8" s="253"/>
      <c r="G8" s="253"/>
      <c r="H8" s="253"/>
      <c r="I8" s="252"/>
    </row>
    <row r="9" spans="1:9" ht="35.1" customHeight="1" thickBot="1">
      <c r="A9" s="251"/>
      <c r="B9" s="26" t="s">
        <v>25</v>
      </c>
      <c r="C9" s="27" t="s">
        <v>26</v>
      </c>
      <c r="D9" s="257" t="s">
        <v>27</v>
      </c>
      <c r="E9" s="258"/>
      <c r="F9" s="258"/>
      <c r="G9" s="259"/>
      <c r="H9" s="28" t="s">
        <v>28</v>
      </c>
      <c r="I9" s="252"/>
    </row>
    <row r="10" spans="1:9" ht="82.5" customHeight="1">
      <c r="A10" s="251"/>
      <c r="B10" s="29">
        <v>1</v>
      </c>
      <c r="C10" s="30" t="s">
        <v>36</v>
      </c>
      <c r="D10" s="260" t="s">
        <v>115</v>
      </c>
      <c r="E10" s="261"/>
      <c r="F10" s="261"/>
      <c r="G10" s="261"/>
      <c r="H10" s="262"/>
      <c r="I10" s="252"/>
    </row>
    <row r="11" spans="1:9" ht="35.1" customHeight="1">
      <c r="A11" s="251"/>
      <c r="B11" s="18">
        <v>2</v>
      </c>
      <c r="C11" s="19" t="s">
        <v>37</v>
      </c>
      <c r="D11" s="185" t="s">
        <v>109</v>
      </c>
      <c r="E11" s="185"/>
      <c r="F11" s="185"/>
      <c r="G11" s="185"/>
      <c r="H11" s="263"/>
      <c r="I11" s="252"/>
    </row>
    <row r="12" spans="1:9" ht="35.1" customHeight="1">
      <c r="A12" s="251"/>
      <c r="B12" s="18">
        <v>3</v>
      </c>
      <c r="C12" s="19" t="s">
        <v>55</v>
      </c>
      <c r="D12" s="185" t="s">
        <v>74</v>
      </c>
      <c r="E12" s="185"/>
      <c r="F12" s="185"/>
      <c r="G12" s="185"/>
      <c r="H12" s="263"/>
      <c r="I12" s="252"/>
    </row>
    <row r="13" spans="1:9" ht="35.1" customHeight="1">
      <c r="A13" s="251"/>
      <c r="B13" s="18">
        <v>4</v>
      </c>
      <c r="C13" s="19" t="s">
        <v>38</v>
      </c>
      <c r="D13" s="264" t="s">
        <v>75</v>
      </c>
      <c r="E13" s="265"/>
      <c r="F13" s="265"/>
      <c r="G13" s="265"/>
      <c r="H13" s="266"/>
      <c r="I13" s="252"/>
    </row>
    <row r="14" spans="1:9" ht="35.1" customHeight="1" thickBot="1">
      <c r="A14" s="251"/>
      <c r="B14" s="31">
        <v>5</v>
      </c>
      <c r="C14" s="50" t="s">
        <v>76</v>
      </c>
      <c r="D14" s="254" t="s">
        <v>77</v>
      </c>
      <c r="E14" s="254"/>
      <c r="F14" s="254"/>
      <c r="G14" s="254"/>
      <c r="H14" s="51" t="s">
        <v>78</v>
      </c>
      <c r="I14" s="252"/>
    </row>
    <row r="15" spans="1:9" ht="35.1" customHeight="1" thickBot="1">
      <c r="A15" s="251"/>
      <c r="B15" s="52">
        <v>6</v>
      </c>
      <c r="C15" s="53" t="s">
        <v>79</v>
      </c>
      <c r="D15" s="230" t="s">
        <v>80</v>
      </c>
      <c r="E15" s="230"/>
      <c r="F15" s="230"/>
      <c r="G15" s="230"/>
      <c r="H15" s="54" t="s">
        <v>81</v>
      </c>
      <c r="I15" s="252"/>
    </row>
    <row r="16" spans="1:9" ht="24.95" customHeight="1">
      <c r="A16" s="251"/>
      <c r="B16" s="231">
        <v>7</v>
      </c>
      <c r="C16" s="233" t="s">
        <v>82</v>
      </c>
      <c r="D16" s="236" t="s">
        <v>56</v>
      </c>
      <c r="E16" s="236"/>
      <c r="F16" s="236"/>
      <c r="G16" s="236"/>
      <c r="H16" s="237"/>
      <c r="I16" s="252"/>
    </row>
    <row r="17" spans="1:9" ht="24.95" customHeight="1">
      <c r="A17" s="251"/>
      <c r="B17" s="232"/>
      <c r="C17" s="234"/>
      <c r="D17" s="238" t="s">
        <v>57</v>
      </c>
      <c r="E17" s="238"/>
      <c r="F17" s="238"/>
      <c r="G17" s="238"/>
      <c r="H17" s="239"/>
      <c r="I17" s="252"/>
    </row>
    <row r="18" spans="1:9" ht="24.95" customHeight="1">
      <c r="A18" s="251"/>
      <c r="B18" s="232"/>
      <c r="C18" s="234"/>
      <c r="D18" s="238" t="s">
        <v>58</v>
      </c>
      <c r="E18" s="238"/>
      <c r="F18" s="238"/>
      <c r="G18" s="238"/>
      <c r="H18" s="239"/>
      <c r="I18" s="252"/>
    </row>
    <row r="19" spans="1:9" ht="24.95" customHeight="1" thickBot="1">
      <c r="A19" s="251"/>
      <c r="B19" s="187"/>
      <c r="C19" s="235"/>
      <c r="D19" s="240" t="s">
        <v>59</v>
      </c>
      <c r="E19" s="240"/>
      <c r="F19" s="240"/>
      <c r="G19" s="240"/>
      <c r="H19" s="241"/>
      <c r="I19" s="252"/>
    </row>
    <row r="20" spans="1:9" ht="35.1" customHeight="1" thickBot="1">
      <c r="A20" s="251"/>
      <c r="B20" s="55">
        <v>8</v>
      </c>
      <c r="C20" s="56" t="s">
        <v>83</v>
      </c>
      <c r="D20" s="198" t="s">
        <v>84</v>
      </c>
      <c r="E20" s="199"/>
      <c r="F20" s="199"/>
      <c r="G20" s="199"/>
      <c r="H20" s="200"/>
      <c r="I20" s="252"/>
    </row>
    <row r="21" spans="1:9" ht="35.1" customHeight="1">
      <c r="A21" s="251"/>
      <c r="B21" s="231">
        <v>9</v>
      </c>
      <c r="C21" s="220" t="s">
        <v>85</v>
      </c>
      <c r="D21" s="242" t="s">
        <v>86</v>
      </c>
      <c r="E21" s="243"/>
      <c r="F21" s="243"/>
      <c r="G21" s="243"/>
      <c r="H21" s="244"/>
      <c r="I21" s="252"/>
    </row>
    <row r="22" spans="1:9" ht="35.1" customHeight="1" thickBot="1">
      <c r="A22" s="251"/>
      <c r="B22" s="187"/>
      <c r="C22" s="221"/>
      <c r="D22" s="245" t="s">
        <v>116</v>
      </c>
      <c r="E22" s="246"/>
      <c r="F22" s="246"/>
      <c r="G22" s="246"/>
      <c r="H22" s="247"/>
      <c r="I22" s="252"/>
    </row>
    <row r="23" spans="1:9" ht="35.1" customHeight="1">
      <c r="A23" s="251"/>
      <c r="B23" s="232">
        <v>10</v>
      </c>
      <c r="C23" s="234" t="s">
        <v>87</v>
      </c>
      <c r="D23" s="267" t="s">
        <v>88</v>
      </c>
      <c r="E23" s="268"/>
      <c r="F23" s="268"/>
      <c r="G23" s="268"/>
      <c r="H23" s="269"/>
      <c r="I23" s="252"/>
    </row>
    <row r="24" spans="1:9" ht="35.1" customHeight="1" thickBot="1">
      <c r="A24" s="251"/>
      <c r="B24" s="232"/>
      <c r="C24" s="234"/>
      <c r="D24" s="206" t="s">
        <v>89</v>
      </c>
      <c r="E24" s="207"/>
      <c r="F24" s="207"/>
      <c r="G24" s="207"/>
      <c r="H24" s="208"/>
      <c r="I24" s="252"/>
    </row>
    <row r="25" spans="1:9" ht="35.1" customHeight="1" thickBot="1">
      <c r="A25" s="251"/>
      <c r="B25" s="55">
        <v>11</v>
      </c>
      <c r="C25" s="57" t="s">
        <v>60</v>
      </c>
      <c r="D25" s="198" t="s">
        <v>90</v>
      </c>
      <c r="E25" s="199"/>
      <c r="F25" s="199"/>
      <c r="G25" s="199"/>
      <c r="H25" s="200"/>
      <c r="I25" s="252"/>
    </row>
    <row r="26" spans="1:9" ht="35.1" customHeight="1" thickBot="1">
      <c r="A26" s="251"/>
      <c r="B26" s="55">
        <v>12</v>
      </c>
      <c r="C26" s="58" t="s">
        <v>61</v>
      </c>
      <c r="D26" s="201" t="s">
        <v>72</v>
      </c>
      <c r="E26" s="201"/>
      <c r="F26" s="201"/>
      <c r="G26" s="201"/>
      <c r="H26" s="202"/>
      <c r="I26" s="252"/>
    </row>
    <row r="27" spans="1:9" ht="60" customHeight="1">
      <c r="A27" s="251"/>
      <c r="B27" s="20">
        <v>13</v>
      </c>
      <c r="C27" s="59" t="s">
        <v>39</v>
      </c>
      <c r="D27" s="203" t="s">
        <v>40</v>
      </c>
      <c r="E27" s="204"/>
      <c r="F27" s="204"/>
      <c r="G27" s="204"/>
      <c r="H27" s="205"/>
      <c r="I27" s="252"/>
    </row>
    <row r="28" spans="1:9" ht="60" customHeight="1">
      <c r="A28" s="251"/>
      <c r="B28" s="20">
        <v>14</v>
      </c>
      <c r="C28" s="59" t="s">
        <v>41</v>
      </c>
      <c r="D28" s="203" t="s">
        <v>42</v>
      </c>
      <c r="E28" s="204"/>
      <c r="F28" s="204"/>
      <c r="G28" s="204"/>
      <c r="H28" s="205"/>
      <c r="I28" s="252"/>
    </row>
    <row r="29" spans="1:9" ht="35.1" customHeight="1">
      <c r="A29" s="251"/>
      <c r="B29" s="186">
        <v>15</v>
      </c>
      <c r="C29" s="188" t="s">
        <v>43</v>
      </c>
      <c r="D29" s="190" t="s">
        <v>44</v>
      </c>
      <c r="E29" s="191"/>
      <c r="F29" s="191"/>
      <c r="G29" s="191"/>
      <c r="H29" s="192"/>
      <c r="I29" s="252"/>
    </row>
    <row r="30" spans="1:9" ht="35.1" customHeight="1" thickBot="1">
      <c r="A30" s="251"/>
      <c r="B30" s="187"/>
      <c r="C30" s="189"/>
      <c r="D30" s="193" t="s">
        <v>45</v>
      </c>
      <c r="E30" s="194"/>
      <c r="F30" s="194"/>
      <c r="G30" s="194"/>
      <c r="H30" s="195"/>
      <c r="I30" s="252"/>
    </row>
    <row r="31" spans="1:9" ht="60" customHeight="1">
      <c r="A31" s="251"/>
      <c r="B31" s="32">
        <v>16</v>
      </c>
      <c r="C31" s="33" t="s">
        <v>46</v>
      </c>
      <c r="D31" s="176" t="s">
        <v>91</v>
      </c>
      <c r="E31" s="176"/>
      <c r="F31" s="176"/>
      <c r="G31" s="176"/>
      <c r="H31" s="177"/>
      <c r="I31" s="252"/>
    </row>
    <row r="32" spans="1:9" ht="60" customHeight="1">
      <c r="A32" s="251"/>
      <c r="B32" s="20">
        <v>17</v>
      </c>
      <c r="C32" s="21" t="s">
        <v>47</v>
      </c>
      <c r="D32" s="178" t="s">
        <v>48</v>
      </c>
      <c r="E32" s="178"/>
      <c r="F32" s="178"/>
      <c r="G32" s="178"/>
      <c r="H32" s="179"/>
      <c r="I32" s="252"/>
    </row>
    <row r="33" spans="1:9" ht="35.1" customHeight="1">
      <c r="A33" s="251"/>
      <c r="B33" s="180">
        <v>18</v>
      </c>
      <c r="C33" s="182" t="s">
        <v>49</v>
      </c>
      <c r="D33" s="184" t="s">
        <v>98</v>
      </c>
      <c r="E33" s="184"/>
      <c r="F33" s="184"/>
      <c r="G33" s="184"/>
      <c r="H33" s="34" t="s">
        <v>50</v>
      </c>
      <c r="I33" s="252"/>
    </row>
    <row r="34" spans="1:9" ht="35.1" customHeight="1">
      <c r="A34" s="251"/>
      <c r="B34" s="181"/>
      <c r="C34" s="183"/>
      <c r="D34" s="185" t="s">
        <v>51</v>
      </c>
      <c r="E34" s="185"/>
      <c r="F34" s="185"/>
      <c r="G34" s="185"/>
      <c r="H34" s="22" t="s">
        <v>52</v>
      </c>
      <c r="I34" s="252"/>
    </row>
    <row r="35" spans="1:9" ht="35.1" customHeight="1">
      <c r="A35" s="251"/>
      <c r="B35" s="18">
        <v>19</v>
      </c>
      <c r="C35" s="23" t="s">
        <v>53</v>
      </c>
      <c r="D35" s="196" t="s">
        <v>264</v>
      </c>
      <c r="E35" s="196"/>
      <c r="F35" s="196"/>
      <c r="G35" s="196"/>
      <c r="H35" s="197"/>
      <c r="I35" s="252"/>
    </row>
    <row r="36" spans="1:9" ht="35.1" customHeight="1" thickBot="1">
      <c r="A36" s="251"/>
      <c r="B36" s="66">
        <v>20</v>
      </c>
      <c r="C36" s="67" t="s">
        <v>54</v>
      </c>
      <c r="D36" s="174" t="s">
        <v>265</v>
      </c>
      <c r="E36" s="174"/>
      <c r="F36" s="174"/>
      <c r="G36" s="174"/>
      <c r="H36" s="175"/>
      <c r="I36" s="252"/>
    </row>
    <row r="37" spans="1:9" ht="9.9499999999999993" customHeight="1" thickBot="1">
      <c r="A37" s="248"/>
      <c r="B37" s="249"/>
      <c r="C37" s="249"/>
      <c r="D37" s="249"/>
      <c r="E37" s="249"/>
      <c r="F37" s="249"/>
      <c r="G37" s="249"/>
      <c r="H37" s="249"/>
      <c r="I37" s="250"/>
    </row>
  </sheetData>
  <mergeCells count="50">
    <mergeCell ref="A37:I37"/>
    <mergeCell ref="A2:A36"/>
    <mergeCell ref="I2:I36"/>
    <mergeCell ref="B8:H8"/>
    <mergeCell ref="D14:G14"/>
    <mergeCell ref="B7:C7"/>
    <mergeCell ref="D9:G9"/>
    <mergeCell ref="D10:H10"/>
    <mergeCell ref="D11:H11"/>
    <mergeCell ref="D12:H12"/>
    <mergeCell ref="D13:H13"/>
    <mergeCell ref="B23:B24"/>
    <mergeCell ref="C23:C24"/>
    <mergeCell ref="D23:H23"/>
    <mergeCell ref="D20:H20"/>
    <mergeCell ref="B21:B22"/>
    <mergeCell ref="C21:C22"/>
    <mergeCell ref="B6:C6"/>
    <mergeCell ref="D6:G7"/>
    <mergeCell ref="D15:G15"/>
    <mergeCell ref="B16:B19"/>
    <mergeCell ref="C16:C19"/>
    <mergeCell ref="D16:H16"/>
    <mergeCell ref="D17:H17"/>
    <mergeCell ref="D18:H18"/>
    <mergeCell ref="D19:H19"/>
    <mergeCell ref="D21:H21"/>
    <mergeCell ref="D22:H22"/>
    <mergeCell ref="A1:I1"/>
    <mergeCell ref="B2:H2"/>
    <mergeCell ref="B3:H3"/>
    <mergeCell ref="B4:H4"/>
    <mergeCell ref="B5:H5"/>
    <mergeCell ref="D25:H25"/>
    <mergeCell ref="D26:H26"/>
    <mergeCell ref="D27:H27"/>
    <mergeCell ref="D24:H24"/>
    <mergeCell ref="D28:H28"/>
    <mergeCell ref="B29:B30"/>
    <mergeCell ref="C29:C30"/>
    <mergeCell ref="D29:H29"/>
    <mergeCell ref="D30:H30"/>
    <mergeCell ref="D35:H35"/>
    <mergeCell ref="D36:H36"/>
    <mergeCell ref="D31:H31"/>
    <mergeCell ref="D32:H32"/>
    <mergeCell ref="B33:B34"/>
    <mergeCell ref="C33:C34"/>
    <mergeCell ref="D33:G33"/>
    <mergeCell ref="D34:G34"/>
  </mergeCells>
  <printOptions horizontalCentered="1" verticalCentered="1"/>
  <pageMargins left="0.19685039370078741" right="0.19685039370078741" top="0.19685039370078741" bottom="0.19685039370078741" header="0" footer="0"/>
  <pageSetup paperSize="9"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E611-DEB8-4E15-8905-8A258C298132}">
  <sheetPr>
    <pageSetUpPr fitToPage="1"/>
  </sheetPr>
  <dimension ref="A1:R41"/>
  <sheetViews>
    <sheetView showGridLines="0" topLeftCell="A9" zoomScale="85" zoomScaleNormal="85" workbookViewId="0">
      <selection activeCell="G20" sqref="G20"/>
    </sheetView>
  </sheetViews>
  <sheetFormatPr defaultRowHeight="15"/>
  <cols>
    <col min="1" max="1" width="1.7109375" customWidth="1"/>
    <col min="2" max="2" width="10.7109375" customWidth="1"/>
    <col min="3" max="3" width="35.7109375" customWidth="1"/>
    <col min="4" max="4" width="21.7109375" customWidth="1"/>
    <col min="5" max="5" width="1.7109375" customWidth="1"/>
    <col min="6" max="6" width="10.7109375" customWidth="1"/>
    <col min="7" max="7" width="35.7109375" customWidth="1"/>
    <col min="8" max="8" width="20.7109375" customWidth="1"/>
    <col min="9" max="9" width="1.7109375" customWidth="1"/>
    <col min="11" max="11" width="10.5703125" customWidth="1"/>
    <col min="12" max="12" width="29.28515625" bestFit="1" customWidth="1"/>
    <col min="13" max="15" width="10.7109375" customWidth="1"/>
    <col min="16" max="16" width="35.5703125" customWidth="1"/>
    <col min="17" max="17" width="10.7109375" customWidth="1"/>
  </cols>
  <sheetData>
    <row r="1" spans="1:18" ht="9.9499999999999993" customHeight="1" thickBot="1">
      <c r="A1" s="288"/>
      <c r="B1" s="285"/>
      <c r="C1" s="285"/>
      <c r="D1" s="285"/>
      <c r="E1" s="285"/>
      <c r="F1" s="285"/>
      <c r="G1" s="285"/>
      <c r="H1" s="285"/>
      <c r="I1" s="286"/>
    </row>
    <row r="2" spans="1:18" ht="69.95" customHeight="1" thickBot="1">
      <c r="A2" s="289"/>
      <c r="B2" s="296" t="s">
        <v>97</v>
      </c>
      <c r="C2" s="297"/>
      <c r="D2" s="297"/>
      <c r="E2" s="297"/>
      <c r="F2" s="297"/>
      <c r="G2" s="297"/>
      <c r="H2" s="298"/>
      <c r="I2" s="287"/>
      <c r="N2" s="46"/>
      <c r="O2" s="46"/>
      <c r="P2" s="46"/>
      <c r="Q2" s="46"/>
      <c r="R2" s="46"/>
    </row>
    <row r="3" spans="1:18" ht="39.950000000000003" customHeight="1" thickBot="1">
      <c r="A3" s="289"/>
      <c r="B3" s="299" t="s">
        <v>266</v>
      </c>
      <c r="C3" s="299"/>
      <c r="D3" s="299"/>
      <c r="E3" s="299"/>
      <c r="F3" s="299"/>
      <c r="G3" s="299"/>
      <c r="H3" s="299"/>
      <c r="I3" s="287"/>
    </row>
    <row r="4" spans="1:18" ht="39.950000000000003" customHeight="1" thickBot="1">
      <c r="A4" s="289"/>
      <c r="B4" s="300" t="s">
        <v>125</v>
      </c>
      <c r="C4" s="301"/>
      <c r="D4" s="301"/>
      <c r="E4" s="301"/>
      <c r="F4" s="301"/>
      <c r="G4" s="301"/>
      <c r="H4" s="302"/>
      <c r="I4" s="287"/>
    </row>
    <row r="5" spans="1:18" ht="35.1" customHeight="1" thickBot="1">
      <c r="A5" s="289"/>
      <c r="B5" s="303" t="s">
        <v>267</v>
      </c>
      <c r="C5" s="303"/>
      <c r="D5" s="303"/>
      <c r="E5" s="303"/>
      <c r="F5" s="303"/>
      <c r="G5" s="303"/>
      <c r="H5" s="303"/>
      <c r="I5" s="287"/>
    </row>
    <row r="6" spans="1:18" ht="35.1" customHeight="1">
      <c r="A6" s="289"/>
      <c r="B6" s="304" t="s">
        <v>117</v>
      </c>
      <c r="C6" s="305"/>
      <c r="D6" s="305"/>
      <c r="E6" s="305"/>
      <c r="F6" s="305"/>
      <c r="G6" s="305"/>
      <c r="H6" s="306"/>
      <c r="I6" s="287"/>
    </row>
    <row r="7" spans="1:18" ht="20.100000000000001" customHeight="1" thickBot="1">
      <c r="A7" s="289"/>
      <c r="B7" s="308" t="s">
        <v>118</v>
      </c>
      <c r="C7" s="309"/>
      <c r="D7" s="309"/>
      <c r="E7" s="309"/>
      <c r="F7" s="309"/>
      <c r="G7" s="309"/>
      <c r="H7" s="310"/>
      <c r="I7" s="287"/>
    </row>
    <row r="8" spans="1:18" ht="9.9499999999999993" customHeight="1" thickBot="1">
      <c r="A8" s="289"/>
      <c r="B8" s="307"/>
      <c r="C8" s="307"/>
      <c r="D8" s="307"/>
      <c r="E8" s="307"/>
      <c r="F8" s="307"/>
      <c r="G8" s="307"/>
      <c r="H8" s="307"/>
      <c r="I8" s="287"/>
    </row>
    <row r="9" spans="1:18" ht="29.25" customHeight="1">
      <c r="A9" s="289"/>
      <c r="B9" s="290" t="s">
        <v>33</v>
      </c>
      <c r="C9" s="291"/>
      <c r="D9" s="292"/>
      <c r="E9" s="278"/>
      <c r="F9" s="293" t="s">
        <v>34</v>
      </c>
      <c r="G9" s="294"/>
      <c r="H9" s="295"/>
      <c r="I9" s="287"/>
    </row>
    <row r="10" spans="1:18" ht="24.95" customHeight="1">
      <c r="A10" s="289"/>
      <c r="B10" s="69" t="s">
        <v>19</v>
      </c>
      <c r="C10" s="311" t="s">
        <v>20</v>
      </c>
      <c r="D10" s="312"/>
      <c r="E10" s="278"/>
      <c r="F10" s="69" t="s">
        <v>19</v>
      </c>
      <c r="G10" s="311" t="s">
        <v>20</v>
      </c>
      <c r="H10" s="312"/>
      <c r="I10" s="287"/>
    </row>
    <row r="11" spans="1:18" ht="30" customHeight="1">
      <c r="A11" s="289"/>
      <c r="B11" s="70" t="s">
        <v>1</v>
      </c>
      <c r="C11" s="270" t="str">
        <f>C17</f>
        <v>DUDU SANTOS/THAYUAN</v>
      </c>
      <c r="D11" s="271"/>
      <c r="E11" s="278"/>
      <c r="F11" s="70" t="s">
        <v>3</v>
      </c>
      <c r="G11" s="272" t="str">
        <f>C18</f>
        <v>JEAN/KAKÁ</v>
      </c>
      <c r="H11" s="273"/>
      <c r="I11" s="287"/>
    </row>
    <row r="12" spans="1:18" ht="30" customHeight="1">
      <c r="A12" s="289"/>
      <c r="B12" s="70" t="s">
        <v>2</v>
      </c>
      <c r="C12" s="270" t="str">
        <f>C20</f>
        <v>DUUH/ÍTALO</v>
      </c>
      <c r="D12" s="271"/>
      <c r="E12" s="278"/>
      <c r="F12" s="70" t="s">
        <v>4</v>
      </c>
      <c r="G12" s="272" t="str">
        <f>C19</f>
        <v>ANTÔNIO/LEONARDO</v>
      </c>
      <c r="H12" s="273"/>
      <c r="I12" s="287"/>
      <c r="K12" s="274" t="s">
        <v>73</v>
      </c>
      <c r="L12" s="274"/>
      <c r="M12" s="274"/>
      <c r="N12" s="274"/>
      <c r="O12" s="139" t="s">
        <v>0</v>
      </c>
    </row>
    <row r="13" spans="1:18" ht="30" customHeight="1">
      <c r="A13" s="289"/>
      <c r="B13" s="70" t="s">
        <v>5</v>
      </c>
      <c r="C13" s="270" t="str">
        <f>G17</f>
        <v>PEDRO/MARCELLO</v>
      </c>
      <c r="D13" s="271"/>
      <c r="E13" s="278"/>
      <c r="F13" s="70" t="s">
        <v>6</v>
      </c>
      <c r="G13" s="272" t="str">
        <f>G18</f>
        <v>ADRIANO/MARCUS VINÍCIUS</v>
      </c>
      <c r="H13" s="273"/>
      <c r="I13" s="287"/>
      <c r="K13" s="4" t="s">
        <v>1</v>
      </c>
      <c r="L13" s="47" t="s">
        <v>268</v>
      </c>
      <c r="M13" s="48">
        <v>740</v>
      </c>
      <c r="N13" s="48">
        <v>740</v>
      </c>
      <c r="O13" s="48">
        <f t="shared" ref="O13:O20" si="0">SUM(M13:N13)</f>
        <v>1480</v>
      </c>
      <c r="P13" s="140" t="s">
        <v>269</v>
      </c>
    </row>
    <row r="14" spans="1:18" ht="30" customHeight="1" thickBot="1">
      <c r="A14" s="289"/>
      <c r="B14" s="71" t="s">
        <v>8</v>
      </c>
      <c r="C14" s="280" t="str">
        <f>G20</f>
        <v>MARCUS KAUAN/EWERTON</v>
      </c>
      <c r="D14" s="281"/>
      <c r="E14" s="278"/>
      <c r="F14" s="71" t="s">
        <v>7</v>
      </c>
      <c r="G14" s="282" t="str">
        <f>G19</f>
        <v>GUILHERME/ENOQUE</v>
      </c>
      <c r="H14" s="283"/>
      <c r="I14" s="287"/>
      <c r="K14" s="4" t="s">
        <v>3</v>
      </c>
      <c r="L14" s="47" t="s">
        <v>278</v>
      </c>
      <c r="M14" s="48">
        <v>560</v>
      </c>
      <c r="N14" s="48">
        <v>260</v>
      </c>
      <c r="O14" s="48">
        <f t="shared" si="0"/>
        <v>820</v>
      </c>
      <c r="P14" t="s">
        <v>270</v>
      </c>
    </row>
    <row r="15" spans="1:18" ht="30" customHeight="1" thickBot="1">
      <c r="A15" s="289"/>
      <c r="B15" s="284" t="s">
        <v>120</v>
      </c>
      <c r="C15" s="284"/>
      <c r="D15" s="284"/>
      <c r="E15" s="284"/>
      <c r="F15" s="284"/>
      <c r="G15" s="284"/>
      <c r="H15" s="284"/>
      <c r="I15" s="287"/>
      <c r="K15" s="4" t="s">
        <v>4</v>
      </c>
      <c r="L15" s="47" t="s">
        <v>280</v>
      </c>
      <c r="M15" s="48">
        <v>400</v>
      </c>
      <c r="N15" s="48">
        <v>0</v>
      </c>
      <c r="O15" s="48">
        <f t="shared" si="0"/>
        <v>400</v>
      </c>
      <c r="P15" t="s">
        <v>271</v>
      </c>
    </row>
    <row r="16" spans="1:18" ht="30" customHeight="1" thickBot="1">
      <c r="A16" s="289"/>
      <c r="B16" s="141" t="s">
        <v>62</v>
      </c>
      <c r="C16" s="142" t="s">
        <v>21</v>
      </c>
      <c r="D16" s="143" t="s">
        <v>63</v>
      </c>
      <c r="E16" s="278"/>
      <c r="F16" s="146" t="s">
        <v>62</v>
      </c>
      <c r="G16" s="147" t="s">
        <v>21</v>
      </c>
      <c r="H16" s="148" t="s">
        <v>63</v>
      </c>
      <c r="I16" s="287"/>
      <c r="K16" s="4" t="s">
        <v>2</v>
      </c>
      <c r="L16" s="47" t="s">
        <v>279</v>
      </c>
      <c r="M16" s="48">
        <v>220</v>
      </c>
      <c r="N16" s="48">
        <v>0</v>
      </c>
      <c r="O16" s="48">
        <f t="shared" si="0"/>
        <v>220</v>
      </c>
      <c r="P16" t="s">
        <v>272</v>
      </c>
    </row>
    <row r="17" spans="1:16" ht="30" customHeight="1">
      <c r="A17" s="289"/>
      <c r="B17" s="72" t="s">
        <v>1</v>
      </c>
      <c r="C17" s="144" t="s">
        <v>268</v>
      </c>
      <c r="D17" s="73" t="s">
        <v>283</v>
      </c>
      <c r="E17" s="279"/>
      <c r="F17" s="72" t="s">
        <v>5</v>
      </c>
      <c r="G17" s="144" t="s">
        <v>292</v>
      </c>
      <c r="H17" s="73" t="s">
        <v>287</v>
      </c>
      <c r="I17" s="287"/>
      <c r="K17" s="4" t="s">
        <v>5</v>
      </c>
      <c r="L17" s="47" t="s">
        <v>277</v>
      </c>
      <c r="M17" s="48">
        <v>100</v>
      </c>
      <c r="N17" s="48">
        <v>0</v>
      </c>
      <c r="O17" s="48">
        <f t="shared" si="0"/>
        <v>100</v>
      </c>
      <c r="P17" t="s">
        <v>273</v>
      </c>
    </row>
    <row r="18" spans="1:16" ht="30" customHeight="1">
      <c r="A18" s="289"/>
      <c r="B18" s="74" t="s">
        <v>3</v>
      </c>
      <c r="C18" s="47" t="s">
        <v>278</v>
      </c>
      <c r="D18" s="75" t="s">
        <v>284</v>
      </c>
      <c r="E18" s="279"/>
      <c r="F18" s="74" t="s">
        <v>6</v>
      </c>
      <c r="G18" s="47" t="s">
        <v>282</v>
      </c>
      <c r="H18" s="75">
        <v>0</v>
      </c>
      <c r="I18" s="287"/>
      <c r="K18" s="4" t="s">
        <v>6</v>
      </c>
      <c r="L18" s="47" t="s">
        <v>281</v>
      </c>
      <c r="M18" s="48">
        <v>0</v>
      </c>
      <c r="N18" s="48">
        <v>0</v>
      </c>
      <c r="O18" s="48">
        <f t="shared" si="0"/>
        <v>0</v>
      </c>
      <c r="P18" t="s">
        <v>274</v>
      </c>
    </row>
    <row r="19" spans="1:16" ht="30" customHeight="1">
      <c r="A19" s="289"/>
      <c r="B19" s="74" t="s">
        <v>4</v>
      </c>
      <c r="C19" s="47" t="s">
        <v>280</v>
      </c>
      <c r="D19" s="75" t="s">
        <v>285</v>
      </c>
      <c r="E19" s="279"/>
      <c r="F19" s="74" t="s">
        <v>7</v>
      </c>
      <c r="G19" s="47" t="s">
        <v>281</v>
      </c>
      <c r="H19" s="75">
        <v>0</v>
      </c>
      <c r="I19" s="287"/>
      <c r="K19" s="4" t="s">
        <v>7</v>
      </c>
      <c r="L19" s="47" t="s">
        <v>290</v>
      </c>
      <c r="M19" s="48">
        <v>0</v>
      </c>
      <c r="N19" s="48">
        <v>0</v>
      </c>
      <c r="O19" s="48">
        <f t="shared" si="0"/>
        <v>0</v>
      </c>
      <c r="P19" t="s">
        <v>275</v>
      </c>
    </row>
    <row r="20" spans="1:16" ht="30" customHeight="1" thickBot="1">
      <c r="A20" s="289"/>
      <c r="B20" s="76" t="s">
        <v>2</v>
      </c>
      <c r="C20" s="145" t="s">
        <v>279</v>
      </c>
      <c r="D20" s="77" t="s">
        <v>286</v>
      </c>
      <c r="E20" s="279"/>
      <c r="F20" s="76" t="s">
        <v>8</v>
      </c>
      <c r="G20" s="145" t="s">
        <v>290</v>
      </c>
      <c r="H20" s="77">
        <v>0</v>
      </c>
      <c r="I20" s="287"/>
      <c r="K20" s="4" t="s">
        <v>8</v>
      </c>
      <c r="L20" s="47" t="s">
        <v>282</v>
      </c>
      <c r="M20" s="48">
        <v>0</v>
      </c>
      <c r="N20" s="48">
        <v>0</v>
      </c>
      <c r="O20" s="48">
        <f t="shared" si="0"/>
        <v>0</v>
      </c>
      <c r="P20" t="s">
        <v>276</v>
      </c>
    </row>
    <row r="21" spans="1:16" ht="9.9499999999999993" customHeight="1" thickBot="1">
      <c r="A21" s="275"/>
      <c r="B21" s="276"/>
      <c r="C21" s="276"/>
      <c r="D21" s="276"/>
      <c r="E21" s="276"/>
      <c r="F21" s="276"/>
      <c r="G21" s="276"/>
      <c r="H21" s="276"/>
      <c r="I21" s="277"/>
    </row>
    <row r="23" spans="1:16" ht="30" customHeight="1">
      <c r="B23" s="37"/>
    </row>
    <row r="24" spans="1:16" ht="30" customHeight="1"/>
    <row r="25" spans="1:16" ht="30" customHeight="1"/>
    <row r="41" spans="15:15" ht="21">
      <c r="O41" s="49"/>
    </row>
  </sheetData>
  <sortState xmlns:xlrd2="http://schemas.microsoft.com/office/spreadsheetml/2017/richdata2" ref="L13:O20">
    <sortCondition descending="1" ref="O13:O20"/>
  </sortState>
  <mergeCells count="27">
    <mergeCell ref="B1:H1"/>
    <mergeCell ref="I1:I20"/>
    <mergeCell ref="A1:A20"/>
    <mergeCell ref="E9:E14"/>
    <mergeCell ref="G12:H12"/>
    <mergeCell ref="B9:D9"/>
    <mergeCell ref="F9:H9"/>
    <mergeCell ref="B2:H2"/>
    <mergeCell ref="B3:H3"/>
    <mergeCell ref="B4:H4"/>
    <mergeCell ref="B5:H5"/>
    <mergeCell ref="B6:H6"/>
    <mergeCell ref="B8:H8"/>
    <mergeCell ref="B7:H7"/>
    <mergeCell ref="C10:D10"/>
    <mergeCell ref="G10:H10"/>
    <mergeCell ref="C11:D11"/>
    <mergeCell ref="G11:H11"/>
    <mergeCell ref="C12:D12"/>
    <mergeCell ref="K12:N12"/>
    <mergeCell ref="A21:I21"/>
    <mergeCell ref="E16:E20"/>
    <mergeCell ref="C13:D13"/>
    <mergeCell ref="G13:H13"/>
    <mergeCell ref="C14:D14"/>
    <mergeCell ref="G14:H14"/>
    <mergeCell ref="B15:H15"/>
  </mergeCells>
  <conditionalFormatting sqref="C17:C20">
    <cfRule type="duplicateValues" dxfId="2" priority="2"/>
  </conditionalFormatting>
  <conditionalFormatting sqref="G17">
    <cfRule type="duplicateValues" dxfId="1" priority="1"/>
  </conditionalFormatting>
  <conditionalFormatting sqref="L13:L17">
    <cfRule type="duplicateValues" dxfId="0" priority="3"/>
  </conditionalFormatting>
  <printOptions horizontalCentered="1" verticalCentered="1"/>
  <pageMargins left="0.19685039370078741" right="0.19685039370078741" top="0.19685039370078741" bottom="0.19685039370078741" header="0.31496062992125984" footer="0.31496062992125984"/>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6263E-F4C3-46BE-B28A-7D84A7B13032}">
  <sheetPr>
    <pageSetUpPr fitToPage="1"/>
  </sheetPr>
  <dimension ref="A1:Q36"/>
  <sheetViews>
    <sheetView showGridLines="0" topLeftCell="A26" zoomScaleNormal="100" workbookViewId="0">
      <selection activeCell="P35" sqref="P35"/>
    </sheetView>
  </sheetViews>
  <sheetFormatPr defaultRowHeight="15"/>
  <cols>
    <col min="1" max="1" width="1.7109375" customWidth="1"/>
    <col min="2" max="2" width="5.5703125" bestFit="1" customWidth="1"/>
    <col min="3" max="3" width="7" bestFit="1" customWidth="1"/>
    <col min="4" max="4" width="7.140625" bestFit="1" customWidth="1"/>
    <col min="5" max="5" width="8.140625" bestFit="1" customWidth="1"/>
    <col min="6" max="6" width="3.5703125" hidden="1" customWidth="1"/>
    <col min="7" max="7" width="42.7109375" customWidth="1"/>
    <col min="8" max="8" width="8.7109375" style="1" customWidth="1"/>
    <col min="9" max="10" width="2.5703125" hidden="1" customWidth="1"/>
    <col min="11" max="11" width="6.7109375" customWidth="1"/>
    <col min="12" max="12" width="8.7109375" style="1" customWidth="1"/>
    <col min="13" max="14" width="2.5703125" hidden="1" customWidth="1"/>
    <col min="15" max="15" width="6.85546875" hidden="1" customWidth="1"/>
    <col min="16" max="16" width="42.7109375" customWidth="1"/>
    <col min="17" max="17" width="1.7109375" customWidth="1"/>
  </cols>
  <sheetData>
    <row r="1" spans="1:17" ht="9.9499999999999993" customHeight="1" thickBot="1">
      <c r="A1" s="288"/>
      <c r="B1" s="332"/>
      <c r="C1" s="332"/>
      <c r="D1" s="332"/>
      <c r="E1" s="332"/>
      <c r="F1" s="332"/>
      <c r="G1" s="332"/>
      <c r="H1" s="332"/>
      <c r="I1" s="332"/>
      <c r="J1" s="332"/>
      <c r="K1" s="332"/>
      <c r="L1" s="332"/>
      <c r="M1" s="332"/>
      <c r="N1" s="332"/>
      <c r="O1" s="332"/>
      <c r="P1" s="332"/>
      <c r="Q1" s="286"/>
    </row>
    <row r="2" spans="1:17" ht="69.95" customHeight="1" thickBot="1">
      <c r="A2" s="314"/>
      <c r="B2" s="316" t="s">
        <v>97</v>
      </c>
      <c r="C2" s="317"/>
      <c r="D2" s="317"/>
      <c r="E2" s="317"/>
      <c r="F2" s="317"/>
      <c r="G2" s="317"/>
      <c r="H2" s="317"/>
      <c r="I2" s="317"/>
      <c r="J2" s="317"/>
      <c r="K2" s="317"/>
      <c r="L2" s="317"/>
      <c r="M2" s="317"/>
      <c r="N2" s="317"/>
      <c r="O2" s="317"/>
      <c r="P2" s="318"/>
      <c r="Q2" s="287"/>
    </row>
    <row r="3" spans="1:17" ht="45" customHeight="1" thickBot="1">
      <c r="A3" s="314"/>
      <c r="B3" s="323" t="s">
        <v>266</v>
      </c>
      <c r="C3" s="323"/>
      <c r="D3" s="323"/>
      <c r="E3" s="323"/>
      <c r="F3" s="323"/>
      <c r="G3" s="323"/>
      <c r="H3" s="323"/>
      <c r="I3" s="323"/>
      <c r="J3" s="323"/>
      <c r="K3" s="323"/>
      <c r="L3" s="323"/>
      <c r="M3" s="323"/>
      <c r="N3" s="323"/>
      <c r="O3" s="323"/>
      <c r="P3" s="323"/>
      <c r="Q3" s="287"/>
    </row>
    <row r="4" spans="1:17" ht="39.950000000000003" customHeight="1" thickBot="1">
      <c r="A4" s="314"/>
      <c r="B4" s="324" t="s">
        <v>125</v>
      </c>
      <c r="C4" s="325"/>
      <c r="D4" s="325"/>
      <c r="E4" s="325"/>
      <c r="F4" s="325"/>
      <c r="G4" s="325"/>
      <c r="H4" s="325"/>
      <c r="I4" s="325"/>
      <c r="J4" s="325"/>
      <c r="K4" s="325"/>
      <c r="L4" s="325"/>
      <c r="M4" s="325"/>
      <c r="N4" s="325"/>
      <c r="O4" s="325"/>
      <c r="P4" s="326"/>
      <c r="Q4" s="287"/>
    </row>
    <row r="5" spans="1:17" ht="30" customHeight="1" thickBot="1">
      <c r="A5" s="314"/>
      <c r="B5" s="327" t="s">
        <v>267</v>
      </c>
      <c r="C5" s="327"/>
      <c r="D5" s="327"/>
      <c r="E5" s="327"/>
      <c r="F5" s="327"/>
      <c r="G5" s="327"/>
      <c r="H5" s="327"/>
      <c r="I5" s="327"/>
      <c r="J5" s="327"/>
      <c r="K5" s="327"/>
      <c r="L5" s="327"/>
      <c r="M5" s="327"/>
      <c r="N5" s="327"/>
      <c r="O5" s="327"/>
      <c r="P5" s="327"/>
      <c r="Q5" s="287"/>
    </row>
    <row r="6" spans="1:17" ht="39.950000000000003" customHeight="1" thickBot="1">
      <c r="A6" s="314"/>
      <c r="B6" s="328" t="s">
        <v>22</v>
      </c>
      <c r="C6" s="329"/>
      <c r="D6" s="329"/>
      <c r="E6" s="329"/>
      <c r="F6" s="329"/>
      <c r="G6" s="329"/>
      <c r="H6" s="329"/>
      <c r="I6" s="329"/>
      <c r="J6" s="329"/>
      <c r="K6" s="329"/>
      <c r="L6" s="329"/>
      <c r="M6" s="329"/>
      <c r="N6" s="329"/>
      <c r="O6" s="329"/>
      <c r="P6" s="330"/>
      <c r="Q6" s="287"/>
    </row>
    <row r="7" spans="1:17" ht="9.9499999999999993" customHeight="1" thickBot="1">
      <c r="A7" s="314"/>
      <c r="B7" s="331"/>
      <c r="C7" s="331"/>
      <c r="D7" s="331"/>
      <c r="E7" s="331"/>
      <c r="F7" s="331"/>
      <c r="G7" s="331"/>
      <c r="H7" s="331"/>
      <c r="I7" s="331"/>
      <c r="J7" s="331"/>
      <c r="K7" s="331"/>
      <c r="L7" s="331"/>
      <c r="M7" s="331"/>
      <c r="N7" s="331"/>
      <c r="O7" s="331"/>
      <c r="P7" s="331"/>
      <c r="Q7" s="287"/>
    </row>
    <row r="8" spans="1:17" ht="35.1" customHeight="1" thickBot="1">
      <c r="A8" s="314"/>
      <c r="B8" s="319" t="s">
        <v>94</v>
      </c>
      <c r="C8" s="320"/>
      <c r="D8" s="320"/>
      <c r="E8" s="320"/>
      <c r="F8" s="320"/>
      <c r="G8" s="320"/>
      <c r="H8" s="320"/>
      <c r="I8" s="320"/>
      <c r="J8" s="320"/>
      <c r="K8" s="320"/>
      <c r="L8" s="320"/>
      <c r="M8" s="320"/>
      <c r="N8" s="320"/>
      <c r="O8" s="320"/>
      <c r="P8" s="321"/>
      <c r="Q8" s="287"/>
    </row>
    <row r="9" spans="1:17" ht="35.1" customHeight="1" thickBot="1">
      <c r="A9" s="314"/>
      <c r="B9" s="78" t="s">
        <v>9</v>
      </c>
      <c r="C9" s="79" t="s">
        <v>32</v>
      </c>
      <c r="D9" s="79" t="s">
        <v>10</v>
      </c>
      <c r="E9" s="79" t="s">
        <v>11</v>
      </c>
      <c r="F9" s="79" t="s">
        <v>64</v>
      </c>
      <c r="G9" s="79" t="s">
        <v>12</v>
      </c>
      <c r="H9" s="79"/>
      <c r="I9" s="79" t="s">
        <v>3</v>
      </c>
      <c r="J9" s="79" t="s">
        <v>4</v>
      </c>
      <c r="K9" s="79"/>
      <c r="L9" s="79"/>
      <c r="M9" s="79" t="s">
        <v>3</v>
      </c>
      <c r="N9" s="79" t="s">
        <v>4</v>
      </c>
      <c r="O9" s="79" t="s">
        <v>65</v>
      </c>
      <c r="P9" s="80" t="s">
        <v>13</v>
      </c>
      <c r="Q9" s="287"/>
    </row>
    <row r="10" spans="1:17" ht="35.1" customHeight="1">
      <c r="A10" s="314"/>
      <c r="B10" s="81">
        <v>1</v>
      </c>
      <c r="C10" s="82" t="s">
        <v>30</v>
      </c>
      <c r="D10" s="83">
        <v>0.33333333333333331</v>
      </c>
      <c r="E10" s="84"/>
      <c r="F10" s="85"/>
      <c r="G10" s="86" t="str">
        <f>GRUPOS!C11</f>
        <v>DUDU SANTOS/THAYUAN</v>
      </c>
      <c r="H10" s="87">
        <v>0</v>
      </c>
      <c r="I10" s="87"/>
      <c r="J10" s="87"/>
      <c r="K10" s="88" t="s">
        <v>17</v>
      </c>
      <c r="L10" s="87" t="s">
        <v>291</v>
      </c>
      <c r="M10" s="89"/>
      <c r="N10" s="90"/>
      <c r="O10" s="91"/>
      <c r="P10" s="92" t="str">
        <f>GRUPOS!C14</f>
        <v>MARCUS KAUAN/EWERTON</v>
      </c>
      <c r="Q10" s="287"/>
    </row>
    <row r="11" spans="1:17" ht="35.1" customHeight="1">
      <c r="A11" s="314"/>
      <c r="B11" s="93">
        <v>2</v>
      </c>
      <c r="C11" s="94" t="s">
        <v>31</v>
      </c>
      <c r="D11" s="95">
        <v>0.33333333333333331</v>
      </c>
      <c r="E11" s="96"/>
      <c r="F11" s="97"/>
      <c r="G11" s="98" t="str">
        <f>GRUPOS!G11</f>
        <v>JEAN/KAKÁ</v>
      </c>
      <c r="H11" s="99">
        <v>21</v>
      </c>
      <c r="I11" s="99"/>
      <c r="J11" s="99"/>
      <c r="K11" s="100" t="s">
        <v>17</v>
      </c>
      <c r="L11" s="99">
        <v>11</v>
      </c>
      <c r="M11" s="101"/>
      <c r="N11" s="102"/>
      <c r="O11" s="103"/>
      <c r="P11" s="104" t="str">
        <f>GRUPOS!G14</f>
        <v>GUILHERME/ENOQUE</v>
      </c>
      <c r="Q11" s="287"/>
    </row>
    <row r="12" spans="1:17" ht="35.1" customHeight="1">
      <c r="A12" s="314"/>
      <c r="B12" s="93">
        <v>3</v>
      </c>
      <c r="C12" s="94" t="s">
        <v>30</v>
      </c>
      <c r="D12" s="95"/>
      <c r="E12" s="105"/>
      <c r="F12" s="106"/>
      <c r="G12" s="98" t="str">
        <f>GRUPOS!C12</f>
        <v>DUUH/ÍTALO</v>
      </c>
      <c r="H12" s="99">
        <v>17</v>
      </c>
      <c r="I12" s="99"/>
      <c r="J12" s="99"/>
      <c r="K12" s="100" t="s">
        <v>17</v>
      </c>
      <c r="L12" s="99">
        <v>21</v>
      </c>
      <c r="M12" s="101"/>
      <c r="N12" s="102"/>
      <c r="O12" s="103"/>
      <c r="P12" s="104" t="str">
        <f>GRUPOS!C13</f>
        <v>PEDRO/MARCELLO</v>
      </c>
      <c r="Q12" s="287"/>
    </row>
    <row r="13" spans="1:17" ht="35.1" customHeight="1">
      <c r="A13" s="314"/>
      <c r="B13" s="93">
        <v>4</v>
      </c>
      <c r="C13" s="94" t="s">
        <v>31</v>
      </c>
      <c r="D13" s="95"/>
      <c r="E13" s="96"/>
      <c r="F13" s="97"/>
      <c r="G13" s="98" t="str">
        <f>GRUPOS!G12</f>
        <v>ANTÔNIO/LEONARDO</v>
      </c>
      <c r="H13" s="99">
        <v>22</v>
      </c>
      <c r="I13" s="99"/>
      <c r="J13" s="99"/>
      <c r="K13" s="100" t="s">
        <v>17</v>
      </c>
      <c r="L13" s="99">
        <v>24</v>
      </c>
      <c r="M13" s="101"/>
      <c r="N13" s="102"/>
      <c r="O13" s="103"/>
      <c r="P13" s="104" t="str">
        <f>GRUPOS!G13</f>
        <v>ADRIANO/MARCUS VINÍCIUS</v>
      </c>
      <c r="Q13" s="287"/>
    </row>
    <row r="14" spans="1:17" ht="35.1" customHeight="1">
      <c r="A14" s="314"/>
      <c r="B14" s="93">
        <v>5</v>
      </c>
      <c r="C14" s="94" t="s">
        <v>30</v>
      </c>
      <c r="D14" s="95"/>
      <c r="E14" s="96"/>
      <c r="F14" s="97"/>
      <c r="G14" s="98" t="str">
        <f>GRUPOS!C11</f>
        <v>DUDU SANTOS/THAYUAN</v>
      </c>
      <c r="H14" s="99">
        <v>0</v>
      </c>
      <c r="I14" s="99"/>
      <c r="J14" s="99"/>
      <c r="K14" s="100" t="s">
        <v>17</v>
      </c>
      <c r="L14" s="99" t="s">
        <v>291</v>
      </c>
      <c r="M14" s="101"/>
      <c r="N14" s="102"/>
      <c r="O14" s="103"/>
      <c r="P14" s="104" t="str">
        <f>GRUPOS!C13</f>
        <v>PEDRO/MARCELLO</v>
      </c>
      <c r="Q14" s="287"/>
    </row>
    <row r="15" spans="1:17" ht="35.1" customHeight="1">
      <c r="A15" s="314"/>
      <c r="B15" s="93">
        <v>6</v>
      </c>
      <c r="C15" s="94" t="s">
        <v>31</v>
      </c>
      <c r="D15" s="95"/>
      <c r="E15" s="105"/>
      <c r="F15" s="106"/>
      <c r="G15" s="98" t="str">
        <f>GRUPOS!G11</f>
        <v>JEAN/KAKÁ</v>
      </c>
      <c r="H15" s="99">
        <v>21</v>
      </c>
      <c r="I15" s="99"/>
      <c r="J15" s="99"/>
      <c r="K15" s="100" t="s">
        <v>17</v>
      </c>
      <c r="L15" s="99">
        <v>19</v>
      </c>
      <c r="M15" s="101"/>
      <c r="N15" s="102"/>
      <c r="O15" s="103"/>
      <c r="P15" s="104" t="str">
        <f>GRUPOS!G13</f>
        <v>ADRIANO/MARCUS VINÍCIUS</v>
      </c>
      <c r="Q15" s="287"/>
    </row>
    <row r="16" spans="1:17" ht="35.1" customHeight="1">
      <c r="A16" s="314"/>
      <c r="B16" s="93">
        <v>7</v>
      </c>
      <c r="C16" s="94" t="s">
        <v>30</v>
      </c>
      <c r="D16" s="95"/>
      <c r="E16" s="96"/>
      <c r="F16" s="97"/>
      <c r="G16" s="98" t="str">
        <f>GRUPOS!C12</f>
        <v>DUUH/ÍTALO</v>
      </c>
      <c r="H16" s="99">
        <v>21</v>
      </c>
      <c r="I16" s="99"/>
      <c r="J16" s="99"/>
      <c r="K16" s="100" t="s">
        <v>17</v>
      </c>
      <c r="L16" s="99">
        <v>19</v>
      </c>
      <c r="M16" s="101"/>
      <c r="N16" s="102"/>
      <c r="O16" s="103"/>
      <c r="P16" s="104" t="str">
        <f>GRUPOS!C14</f>
        <v>MARCUS KAUAN/EWERTON</v>
      </c>
      <c r="Q16" s="287"/>
    </row>
    <row r="17" spans="1:17" ht="35.1" customHeight="1">
      <c r="A17" s="314"/>
      <c r="B17" s="93">
        <v>8</v>
      </c>
      <c r="C17" s="94" t="s">
        <v>31</v>
      </c>
      <c r="D17" s="95"/>
      <c r="E17" s="105"/>
      <c r="F17" s="106"/>
      <c r="G17" s="98" t="str">
        <f>GRUPOS!G12</f>
        <v>ANTÔNIO/LEONARDO</v>
      </c>
      <c r="H17" s="99">
        <v>21</v>
      </c>
      <c r="I17" s="99"/>
      <c r="J17" s="99"/>
      <c r="K17" s="100" t="s">
        <v>17</v>
      </c>
      <c r="L17" s="99">
        <v>7</v>
      </c>
      <c r="M17" s="101"/>
      <c r="N17" s="102"/>
      <c r="O17" s="103"/>
      <c r="P17" s="104" t="str">
        <f>GRUPOS!G14</f>
        <v>GUILHERME/ENOQUE</v>
      </c>
      <c r="Q17" s="287"/>
    </row>
    <row r="18" spans="1:17" ht="35.1" customHeight="1">
      <c r="A18" s="314"/>
      <c r="B18" s="93">
        <v>9</v>
      </c>
      <c r="C18" s="94" t="s">
        <v>30</v>
      </c>
      <c r="D18" s="95"/>
      <c r="E18" s="96"/>
      <c r="F18" s="97"/>
      <c r="G18" s="98" t="str">
        <f>GRUPOS!C11</f>
        <v>DUDU SANTOS/THAYUAN</v>
      </c>
      <c r="H18" s="99">
        <v>0</v>
      </c>
      <c r="I18" s="99"/>
      <c r="J18" s="99"/>
      <c r="K18" s="100" t="s">
        <v>17</v>
      </c>
      <c r="L18" s="99" t="s">
        <v>291</v>
      </c>
      <c r="M18" s="101"/>
      <c r="N18" s="102"/>
      <c r="O18" s="103"/>
      <c r="P18" s="104" t="str">
        <f>GRUPOS!C12</f>
        <v>DUUH/ÍTALO</v>
      </c>
      <c r="Q18" s="287"/>
    </row>
    <row r="19" spans="1:17" ht="35.1" customHeight="1">
      <c r="A19" s="314"/>
      <c r="B19" s="93">
        <v>10</v>
      </c>
      <c r="C19" s="94" t="s">
        <v>31</v>
      </c>
      <c r="D19" s="95"/>
      <c r="E19" s="105"/>
      <c r="F19" s="106"/>
      <c r="G19" s="98" t="str">
        <f>GRUPOS!G11</f>
        <v>JEAN/KAKÁ</v>
      </c>
      <c r="H19" s="99">
        <v>23</v>
      </c>
      <c r="I19" s="99"/>
      <c r="J19" s="99"/>
      <c r="K19" s="100" t="s">
        <v>17</v>
      </c>
      <c r="L19" s="99">
        <v>25</v>
      </c>
      <c r="M19" s="101"/>
      <c r="N19" s="102"/>
      <c r="O19" s="103"/>
      <c r="P19" s="104" t="str">
        <f>GRUPOS!G12</f>
        <v>ANTÔNIO/LEONARDO</v>
      </c>
      <c r="Q19" s="287"/>
    </row>
    <row r="20" spans="1:17" ht="35.1" customHeight="1">
      <c r="A20" s="314"/>
      <c r="B20" s="93">
        <v>11</v>
      </c>
      <c r="C20" s="94" t="s">
        <v>30</v>
      </c>
      <c r="D20" s="95"/>
      <c r="E20" s="96"/>
      <c r="F20" s="97"/>
      <c r="G20" s="98" t="str">
        <f>GRUPOS!C13</f>
        <v>PEDRO/MARCELLO</v>
      </c>
      <c r="H20" s="99">
        <v>21</v>
      </c>
      <c r="I20" s="99"/>
      <c r="J20" s="99"/>
      <c r="K20" s="100" t="s">
        <v>17</v>
      </c>
      <c r="L20" s="99">
        <v>14</v>
      </c>
      <c r="M20" s="101"/>
      <c r="N20" s="102"/>
      <c r="O20" s="103"/>
      <c r="P20" s="104" t="str">
        <f>GRUPOS!C14</f>
        <v>MARCUS KAUAN/EWERTON</v>
      </c>
      <c r="Q20" s="287"/>
    </row>
    <row r="21" spans="1:17" ht="35.1" customHeight="1" thickBot="1">
      <c r="A21" s="314"/>
      <c r="B21" s="107">
        <v>12</v>
      </c>
      <c r="C21" s="108" t="s">
        <v>31</v>
      </c>
      <c r="D21" s="109"/>
      <c r="E21" s="110"/>
      <c r="F21" s="111"/>
      <c r="G21" s="112" t="str">
        <f>GRUPOS!G13</f>
        <v>ADRIANO/MARCUS VINÍCIUS</v>
      </c>
      <c r="H21" s="113">
        <v>21</v>
      </c>
      <c r="I21" s="113"/>
      <c r="J21" s="113"/>
      <c r="K21" s="114" t="s">
        <v>17</v>
      </c>
      <c r="L21" s="113">
        <v>7</v>
      </c>
      <c r="M21" s="115"/>
      <c r="N21" s="116"/>
      <c r="O21" s="117"/>
      <c r="P21" s="118" t="str">
        <f>GRUPOS!G14</f>
        <v>GUILHERME/ENOQUE</v>
      </c>
      <c r="Q21" s="287"/>
    </row>
    <row r="22" spans="1:17" ht="9.9499999999999993" customHeight="1" thickBot="1">
      <c r="A22" s="314"/>
      <c r="B22" s="322"/>
      <c r="C22" s="322"/>
      <c r="D22" s="322"/>
      <c r="E22" s="322"/>
      <c r="F22" s="322"/>
      <c r="G22" s="322"/>
      <c r="H22" s="322"/>
      <c r="I22" s="322"/>
      <c r="J22" s="322"/>
      <c r="K22" s="322"/>
      <c r="L22" s="322"/>
      <c r="M22" s="322"/>
      <c r="N22" s="322"/>
      <c r="O22" s="322"/>
      <c r="P22" s="322"/>
      <c r="Q22" s="287"/>
    </row>
    <row r="23" spans="1:17" ht="35.1" customHeight="1" thickBot="1">
      <c r="A23" s="314"/>
      <c r="B23" s="319" t="s">
        <v>92</v>
      </c>
      <c r="C23" s="320"/>
      <c r="D23" s="320"/>
      <c r="E23" s="320"/>
      <c r="F23" s="320"/>
      <c r="G23" s="320"/>
      <c r="H23" s="320"/>
      <c r="I23" s="320"/>
      <c r="J23" s="320"/>
      <c r="K23" s="320"/>
      <c r="L23" s="320"/>
      <c r="M23" s="320"/>
      <c r="N23" s="320"/>
      <c r="O23" s="320"/>
      <c r="P23" s="321"/>
      <c r="Q23" s="287"/>
    </row>
    <row r="24" spans="1:17" ht="35.1" customHeight="1">
      <c r="A24" s="314"/>
      <c r="B24" s="119">
        <v>13</v>
      </c>
      <c r="C24" s="120"/>
      <c r="D24" s="121"/>
      <c r="E24" s="122"/>
      <c r="F24" s="123"/>
      <c r="G24" s="156" t="str">
        <f>AVERAGE!C34</f>
        <v>DUUH/ÍTALO</v>
      </c>
      <c r="H24" s="124">
        <v>12</v>
      </c>
      <c r="I24" s="124"/>
      <c r="J24" s="124"/>
      <c r="K24" s="120" t="s">
        <v>17</v>
      </c>
      <c r="L24" s="124">
        <v>21</v>
      </c>
      <c r="M24" s="125"/>
      <c r="N24" s="124"/>
      <c r="O24" s="126"/>
      <c r="P24" s="158" t="str">
        <f>AVERAGE!C39</f>
        <v>JEAN/KAKÁ</v>
      </c>
      <c r="Q24" s="287"/>
    </row>
    <row r="25" spans="1:17" ht="35.1" customHeight="1" thickBot="1">
      <c r="A25" s="314"/>
      <c r="B25" s="107">
        <v>14</v>
      </c>
      <c r="C25" s="108"/>
      <c r="D25" s="109"/>
      <c r="E25" s="110"/>
      <c r="F25" s="111"/>
      <c r="G25" s="157" t="str">
        <f>AVERAGE!C38</f>
        <v>ANTÔNIO/LEONARDO</v>
      </c>
      <c r="H25" s="113">
        <v>21</v>
      </c>
      <c r="I25" s="113"/>
      <c r="J25" s="113"/>
      <c r="K25" s="108" t="s">
        <v>17</v>
      </c>
      <c r="L25" s="113">
        <v>13</v>
      </c>
      <c r="M25" s="127"/>
      <c r="N25" s="113"/>
      <c r="O25" s="114"/>
      <c r="P25" s="159" t="str">
        <f>AVERAGE!C35</f>
        <v>MARCUS KAUÂ/EWERTON</v>
      </c>
      <c r="Q25" s="287"/>
    </row>
    <row r="26" spans="1:17" ht="9.9499999999999993" customHeight="1" thickBot="1">
      <c r="A26" s="314"/>
      <c r="B26" s="333"/>
      <c r="C26" s="333"/>
      <c r="D26" s="333"/>
      <c r="E26" s="333"/>
      <c r="F26" s="333"/>
      <c r="G26" s="333"/>
      <c r="H26" s="333"/>
      <c r="I26" s="333"/>
      <c r="J26" s="333"/>
      <c r="K26" s="333"/>
      <c r="L26" s="333"/>
      <c r="M26" s="333"/>
      <c r="N26" s="333"/>
      <c r="O26" s="333"/>
      <c r="P26" s="333"/>
      <c r="Q26" s="287"/>
    </row>
    <row r="27" spans="1:17" ht="35.1" customHeight="1" thickBot="1">
      <c r="A27" s="314"/>
      <c r="B27" s="319" t="s">
        <v>93</v>
      </c>
      <c r="C27" s="320"/>
      <c r="D27" s="320"/>
      <c r="E27" s="320"/>
      <c r="F27" s="320"/>
      <c r="G27" s="320"/>
      <c r="H27" s="320"/>
      <c r="I27" s="320"/>
      <c r="J27" s="320"/>
      <c r="K27" s="320"/>
      <c r="L27" s="320"/>
      <c r="M27" s="320"/>
      <c r="N27" s="320"/>
      <c r="O27" s="320"/>
      <c r="P27" s="321"/>
      <c r="Q27" s="287"/>
    </row>
    <row r="28" spans="1:17" ht="35.1" customHeight="1">
      <c r="A28" s="314"/>
      <c r="B28" s="119">
        <v>15</v>
      </c>
      <c r="C28" s="120"/>
      <c r="D28" s="121"/>
      <c r="E28" s="122"/>
      <c r="F28" s="123"/>
      <c r="G28" s="156" t="str">
        <f>AVERAGE!C37</f>
        <v>ADRIANO/MARCUS VINÍCIUS</v>
      </c>
      <c r="H28" s="124">
        <v>21</v>
      </c>
      <c r="I28" s="124"/>
      <c r="J28" s="124"/>
      <c r="K28" s="120" t="s">
        <v>17</v>
      </c>
      <c r="L28" s="124">
        <v>16</v>
      </c>
      <c r="M28" s="125"/>
      <c r="N28" s="124"/>
      <c r="O28" s="126"/>
      <c r="P28" s="158" t="s">
        <v>278</v>
      </c>
      <c r="Q28" s="287"/>
    </row>
    <row r="29" spans="1:17" ht="35.1" customHeight="1" thickBot="1">
      <c r="A29" s="314"/>
      <c r="B29" s="107">
        <v>16</v>
      </c>
      <c r="C29" s="108"/>
      <c r="D29" s="109"/>
      <c r="E29" s="110"/>
      <c r="F29" s="111"/>
      <c r="G29" s="157" t="str">
        <f>AVERAGE!C33</f>
        <v>PEDRO/MARCELLO</v>
      </c>
      <c r="H29" s="113">
        <v>15</v>
      </c>
      <c r="I29" s="113"/>
      <c r="J29" s="113"/>
      <c r="K29" s="108" t="s">
        <v>17</v>
      </c>
      <c r="L29" s="113">
        <v>21</v>
      </c>
      <c r="M29" s="127"/>
      <c r="N29" s="113"/>
      <c r="O29" s="114"/>
      <c r="P29" s="159" t="s">
        <v>294</v>
      </c>
      <c r="Q29" s="287"/>
    </row>
    <row r="30" spans="1:17" ht="9.9499999999999993" customHeight="1" thickBot="1">
      <c r="A30" s="314"/>
      <c r="B30" s="322"/>
      <c r="C30" s="322"/>
      <c r="D30" s="322"/>
      <c r="E30" s="322"/>
      <c r="F30" s="322"/>
      <c r="G30" s="322"/>
      <c r="H30" s="322"/>
      <c r="I30" s="322"/>
      <c r="J30" s="322"/>
      <c r="K30" s="322"/>
      <c r="L30" s="322"/>
      <c r="M30" s="322"/>
      <c r="N30" s="322"/>
      <c r="O30" s="322"/>
      <c r="P30" s="322"/>
      <c r="Q30" s="287"/>
    </row>
    <row r="31" spans="1:17" ht="35.1" customHeight="1" thickBot="1">
      <c r="A31" s="314"/>
      <c r="B31" s="319" t="s">
        <v>99</v>
      </c>
      <c r="C31" s="320"/>
      <c r="D31" s="320"/>
      <c r="E31" s="320"/>
      <c r="F31" s="320"/>
      <c r="G31" s="320"/>
      <c r="H31" s="320"/>
      <c r="I31" s="320"/>
      <c r="J31" s="320"/>
      <c r="K31" s="320"/>
      <c r="L31" s="320"/>
      <c r="M31" s="320"/>
      <c r="N31" s="320"/>
      <c r="O31" s="320"/>
      <c r="P31" s="321"/>
      <c r="Q31" s="287"/>
    </row>
    <row r="32" spans="1:17" ht="35.1" customHeight="1" thickBot="1">
      <c r="A32" s="314"/>
      <c r="B32" s="128">
        <v>17</v>
      </c>
      <c r="C32" s="79"/>
      <c r="D32" s="129"/>
      <c r="E32" s="130"/>
      <c r="F32" s="131"/>
      <c r="G32" s="160" t="s">
        <v>278</v>
      </c>
      <c r="H32" s="132">
        <v>21</v>
      </c>
      <c r="I32" s="133"/>
      <c r="J32" s="134"/>
      <c r="K32" s="135" t="s">
        <v>17</v>
      </c>
      <c r="L32" s="135">
        <v>17</v>
      </c>
      <c r="M32" s="136"/>
      <c r="N32" s="136"/>
      <c r="O32" s="137"/>
      <c r="P32" s="161" t="s">
        <v>292</v>
      </c>
      <c r="Q32" s="287"/>
    </row>
    <row r="33" spans="1:17" ht="9.9499999999999993" customHeight="1" thickBot="1">
      <c r="A33" s="314"/>
      <c r="B33" s="322"/>
      <c r="C33" s="322"/>
      <c r="D33" s="322"/>
      <c r="E33" s="322"/>
      <c r="F33" s="322"/>
      <c r="G33" s="322"/>
      <c r="H33" s="322"/>
      <c r="I33" s="322"/>
      <c r="J33" s="322"/>
      <c r="K33" s="322"/>
      <c r="L33" s="322"/>
      <c r="M33" s="322"/>
      <c r="N33" s="322"/>
      <c r="O33" s="322"/>
      <c r="P33" s="322"/>
      <c r="Q33" s="287"/>
    </row>
    <row r="34" spans="1:17" ht="35.1" customHeight="1" thickBot="1">
      <c r="A34" s="314"/>
      <c r="B34" s="319" t="s">
        <v>100</v>
      </c>
      <c r="C34" s="320"/>
      <c r="D34" s="320"/>
      <c r="E34" s="320"/>
      <c r="F34" s="320"/>
      <c r="G34" s="320"/>
      <c r="H34" s="320"/>
      <c r="I34" s="320"/>
      <c r="J34" s="320"/>
      <c r="K34" s="320"/>
      <c r="L34" s="320"/>
      <c r="M34" s="320"/>
      <c r="N34" s="320"/>
      <c r="O34" s="320"/>
      <c r="P34" s="321"/>
      <c r="Q34" s="287"/>
    </row>
    <row r="35" spans="1:17" ht="35.1" customHeight="1" thickBot="1">
      <c r="A35" s="314"/>
      <c r="B35" s="128">
        <v>18</v>
      </c>
      <c r="C35" s="79"/>
      <c r="D35" s="129"/>
      <c r="E35" s="130"/>
      <c r="F35" s="131"/>
      <c r="G35" s="160" t="s">
        <v>282</v>
      </c>
      <c r="H35" s="132">
        <v>2</v>
      </c>
      <c r="I35" s="133"/>
      <c r="J35" s="134"/>
      <c r="K35" s="135" t="s">
        <v>17</v>
      </c>
      <c r="L35" s="135">
        <v>0</v>
      </c>
      <c r="M35" s="136"/>
      <c r="N35" s="136"/>
      <c r="O35" s="137"/>
      <c r="P35" s="161" t="s">
        <v>295</v>
      </c>
      <c r="Q35" s="287"/>
    </row>
    <row r="36" spans="1:17" ht="9.9499999999999993" customHeight="1" thickBot="1">
      <c r="A36" s="315"/>
      <c r="B36" s="313"/>
      <c r="C36" s="313"/>
      <c r="D36" s="313"/>
      <c r="E36" s="313"/>
      <c r="F36" s="313"/>
      <c r="G36" s="313"/>
      <c r="H36" s="313"/>
      <c r="I36" s="313"/>
      <c r="J36" s="313"/>
      <c r="K36" s="313"/>
      <c r="L36" s="313"/>
      <c r="M36" s="313"/>
      <c r="N36" s="313"/>
      <c r="O36" s="313"/>
      <c r="P36" s="313"/>
      <c r="Q36" s="277"/>
    </row>
  </sheetData>
  <mergeCells count="19">
    <mergeCell ref="A1:Q1"/>
    <mergeCell ref="B22:P22"/>
    <mergeCell ref="B26:P26"/>
    <mergeCell ref="B36:P36"/>
    <mergeCell ref="Q2:Q36"/>
    <mergeCell ref="A2:A36"/>
    <mergeCell ref="B2:P2"/>
    <mergeCell ref="B31:P31"/>
    <mergeCell ref="B33:P33"/>
    <mergeCell ref="B34:P34"/>
    <mergeCell ref="B3:P3"/>
    <mergeCell ref="B4:P4"/>
    <mergeCell ref="B5:P5"/>
    <mergeCell ref="B6:P6"/>
    <mergeCell ref="B7:P7"/>
    <mergeCell ref="B23:P23"/>
    <mergeCell ref="B27:P27"/>
    <mergeCell ref="B30:P30"/>
    <mergeCell ref="B8:P8"/>
  </mergeCells>
  <printOptions horizontalCentered="1"/>
  <pageMargins left="0.19685039370078741" right="0.19685039370078741" top="0.39370078740157483" bottom="0.19685039370078741" header="0.31496062992125984" footer="0.31496062992125984"/>
  <pageSetup paperSize="9" scale="71" pageOrder="overThenDown" orientation="portrait" r:id="rId1"/>
  <ignoredErrors>
    <ignoredError sqref="P14"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9232-8C9D-416D-9D3F-AFCB0ECF157F}">
  <sheetPr>
    <pageSetUpPr fitToPage="1"/>
  </sheetPr>
  <dimension ref="A1:Z41"/>
  <sheetViews>
    <sheetView showGridLines="0" topLeftCell="A33" zoomScaleNormal="100" workbookViewId="0">
      <selection activeCell="C40" sqref="C40:I40"/>
    </sheetView>
  </sheetViews>
  <sheetFormatPr defaultRowHeight="15"/>
  <cols>
    <col min="1" max="1" width="1.7109375" customWidth="1"/>
    <col min="2" max="2" width="23.42578125" customWidth="1"/>
    <col min="3" max="4" width="8.7109375" customWidth="1"/>
    <col min="5" max="5" width="1.7109375" customWidth="1"/>
    <col min="6" max="6" width="21.5703125" bestFit="1" customWidth="1"/>
    <col min="7" max="8" width="8.7109375" customWidth="1"/>
    <col min="9" max="9" width="1.7109375" customWidth="1"/>
    <col min="10" max="10" width="23.42578125" bestFit="1" customWidth="1"/>
    <col min="13" max="13" width="1.7109375" customWidth="1"/>
    <col min="14" max="14" width="28.42578125" bestFit="1" customWidth="1"/>
    <col min="17" max="17" width="1.7109375" customWidth="1"/>
  </cols>
  <sheetData>
    <row r="1" spans="1:26" ht="9.9499999999999993" customHeight="1" thickBot="1">
      <c r="A1" s="288"/>
      <c r="B1" s="366"/>
      <c r="C1" s="366"/>
      <c r="D1" s="366"/>
      <c r="E1" s="366"/>
      <c r="F1" s="366"/>
      <c r="G1" s="366"/>
      <c r="H1" s="366"/>
      <c r="I1" s="366"/>
      <c r="J1" s="366"/>
      <c r="K1" s="366"/>
      <c r="L1" s="366"/>
      <c r="M1" s="366"/>
      <c r="N1" s="366"/>
      <c r="O1" s="366"/>
      <c r="P1" s="366"/>
      <c r="Q1" s="286"/>
      <c r="U1" s="2"/>
      <c r="V1" s="2"/>
      <c r="W1" s="2"/>
      <c r="X1" s="2"/>
      <c r="Y1" s="2"/>
      <c r="Z1" s="2"/>
    </row>
    <row r="2" spans="1:26" ht="60" customHeight="1" thickBot="1">
      <c r="A2" s="289"/>
      <c r="B2" s="367" t="s">
        <v>97</v>
      </c>
      <c r="C2" s="368"/>
      <c r="D2" s="368"/>
      <c r="E2" s="368"/>
      <c r="F2" s="368"/>
      <c r="G2" s="368"/>
      <c r="H2" s="368"/>
      <c r="I2" s="368"/>
      <c r="J2" s="368"/>
      <c r="K2" s="368"/>
      <c r="L2" s="368"/>
      <c r="M2" s="368"/>
      <c r="N2" s="368"/>
      <c r="O2" s="368"/>
      <c r="P2" s="369"/>
      <c r="Q2" s="287"/>
    </row>
    <row r="3" spans="1:26" ht="30" customHeight="1" thickBot="1">
      <c r="A3" s="289"/>
      <c r="B3" s="370" t="s">
        <v>266</v>
      </c>
      <c r="C3" s="370"/>
      <c r="D3" s="370"/>
      <c r="E3" s="370"/>
      <c r="F3" s="370"/>
      <c r="G3" s="370"/>
      <c r="H3" s="370"/>
      <c r="I3" s="370"/>
      <c r="J3" s="370"/>
      <c r="K3" s="370"/>
      <c r="L3" s="370"/>
      <c r="M3" s="370"/>
      <c r="N3" s="370"/>
      <c r="O3" s="370"/>
      <c r="P3" s="370"/>
      <c r="Q3" s="287"/>
    </row>
    <row r="4" spans="1:26" ht="30" customHeight="1" thickBot="1">
      <c r="A4" s="289"/>
      <c r="B4" s="371" t="s">
        <v>125</v>
      </c>
      <c r="C4" s="372"/>
      <c r="D4" s="372"/>
      <c r="E4" s="372"/>
      <c r="F4" s="372"/>
      <c r="G4" s="372"/>
      <c r="H4" s="372"/>
      <c r="I4" s="372"/>
      <c r="J4" s="372"/>
      <c r="K4" s="372"/>
      <c r="L4" s="372"/>
      <c r="M4" s="372"/>
      <c r="N4" s="372"/>
      <c r="O4" s="372"/>
      <c r="P4" s="373"/>
      <c r="Q4" s="287"/>
    </row>
    <row r="5" spans="1:26" ht="30" customHeight="1" thickBot="1">
      <c r="A5" s="289"/>
      <c r="B5" s="374" t="s">
        <v>267</v>
      </c>
      <c r="C5" s="374"/>
      <c r="D5" s="374"/>
      <c r="E5" s="374"/>
      <c r="F5" s="374"/>
      <c r="G5" s="374"/>
      <c r="H5" s="374"/>
      <c r="I5" s="374"/>
      <c r="J5" s="374"/>
      <c r="K5" s="374"/>
      <c r="L5" s="374"/>
      <c r="M5" s="374"/>
      <c r="N5" s="374"/>
      <c r="O5" s="374"/>
      <c r="P5" s="374"/>
      <c r="Q5" s="287"/>
    </row>
    <row r="6" spans="1:26" ht="30" customHeight="1" thickBot="1">
      <c r="A6" s="289"/>
      <c r="B6" s="375" t="s">
        <v>18</v>
      </c>
      <c r="C6" s="376"/>
      <c r="D6" s="376"/>
      <c r="E6" s="376"/>
      <c r="F6" s="376"/>
      <c r="G6" s="376"/>
      <c r="H6" s="376"/>
      <c r="I6" s="376"/>
      <c r="J6" s="376"/>
      <c r="K6" s="376"/>
      <c r="L6" s="376"/>
      <c r="M6" s="376"/>
      <c r="N6" s="376"/>
      <c r="O6" s="376"/>
      <c r="P6" s="377"/>
      <c r="Q6" s="287"/>
    </row>
    <row r="7" spans="1:26" ht="9.9499999999999993" customHeight="1" thickBot="1">
      <c r="A7" s="275"/>
      <c r="B7" s="366"/>
      <c r="C7" s="366"/>
      <c r="D7" s="366"/>
      <c r="E7" s="366"/>
      <c r="F7" s="366"/>
      <c r="G7" s="366"/>
      <c r="H7" s="366"/>
      <c r="I7" s="366"/>
      <c r="J7" s="366"/>
      <c r="K7" s="366"/>
      <c r="L7" s="366"/>
      <c r="M7" s="366"/>
      <c r="N7" s="366"/>
      <c r="O7" s="366"/>
      <c r="P7" s="366"/>
      <c r="Q7" s="277"/>
      <c r="U7" s="2"/>
      <c r="V7" s="2"/>
      <c r="W7" s="2"/>
      <c r="X7" s="2"/>
      <c r="Y7" s="2"/>
      <c r="Z7" s="2"/>
    </row>
    <row r="8" spans="1:26" ht="9.9499999999999993" customHeight="1" thickBot="1">
      <c r="A8" s="9"/>
      <c r="B8" s="10"/>
      <c r="C8" s="10"/>
      <c r="D8" s="10"/>
      <c r="E8" s="10"/>
      <c r="F8" s="10"/>
      <c r="G8" s="10"/>
      <c r="H8" s="10"/>
      <c r="I8" s="10"/>
      <c r="J8" s="10"/>
      <c r="K8" s="10"/>
      <c r="L8" s="10"/>
      <c r="M8" s="10"/>
      <c r="N8" s="10"/>
      <c r="O8" s="10"/>
      <c r="P8" s="10"/>
      <c r="Q8" s="2"/>
      <c r="U8" s="2"/>
      <c r="V8" s="2"/>
      <c r="W8" s="2"/>
      <c r="X8" s="2"/>
      <c r="Y8" s="2"/>
      <c r="Z8" s="2"/>
    </row>
    <row r="9" spans="1:26" ht="9.9499999999999993" customHeight="1" thickBot="1">
      <c r="A9" s="353"/>
      <c r="B9" s="354"/>
      <c r="C9" s="354"/>
      <c r="D9" s="354"/>
      <c r="E9" s="354"/>
      <c r="F9" s="354"/>
      <c r="G9" s="354"/>
      <c r="H9" s="354"/>
      <c r="I9" s="354"/>
      <c r="J9" s="354"/>
      <c r="K9" s="354"/>
      <c r="L9" s="354"/>
      <c r="M9" s="354"/>
      <c r="N9" s="354"/>
      <c r="O9" s="354"/>
      <c r="P9" s="354"/>
      <c r="Q9" s="355"/>
      <c r="U9" s="2"/>
      <c r="V9" s="2"/>
      <c r="W9" s="2"/>
      <c r="X9" s="2"/>
      <c r="Y9" s="2"/>
      <c r="Z9" s="2"/>
    </row>
    <row r="10" spans="1:26" ht="20.100000000000001" customHeight="1" thickBot="1">
      <c r="A10" s="356"/>
      <c r="B10" s="363" t="s">
        <v>66</v>
      </c>
      <c r="C10" s="364"/>
      <c r="D10" s="364"/>
      <c r="E10" s="364"/>
      <c r="F10" s="364"/>
      <c r="G10" s="364"/>
      <c r="H10" s="364"/>
      <c r="I10" s="364"/>
      <c r="J10" s="364"/>
      <c r="K10" s="364"/>
      <c r="L10" s="364"/>
      <c r="M10" s="364"/>
      <c r="N10" s="364"/>
      <c r="O10" s="364"/>
      <c r="P10" s="365"/>
      <c r="Q10" s="287"/>
      <c r="U10" s="2"/>
      <c r="V10" s="2"/>
      <c r="W10" s="2"/>
      <c r="X10" s="2"/>
      <c r="Y10" s="2"/>
      <c r="Z10" s="2"/>
    </row>
    <row r="11" spans="1:26" ht="9.9499999999999993" customHeight="1" thickBot="1">
      <c r="A11" s="356"/>
      <c r="B11" s="360"/>
      <c r="C11" s="360"/>
      <c r="D11" s="360"/>
      <c r="E11" s="360"/>
      <c r="F11" s="360"/>
      <c r="G11" s="360"/>
      <c r="H11" s="360"/>
      <c r="I11" s="360"/>
      <c r="J11" s="360"/>
      <c r="K11" s="360"/>
      <c r="L11" s="360"/>
      <c r="M11" s="360"/>
      <c r="N11" s="360"/>
      <c r="O11" s="360"/>
      <c r="P11" s="360"/>
      <c r="Q11" s="287"/>
      <c r="U11" s="2"/>
      <c r="V11" s="2"/>
      <c r="W11" s="2"/>
      <c r="X11" s="2"/>
      <c r="Y11" s="2"/>
      <c r="Z11" s="2"/>
    </row>
    <row r="12" spans="1:26" ht="20.100000000000001" customHeight="1">
      <c r="A12" s="356"/>
      <c r="B12" s="38" t="str">
        <f>GRUPOS!C11</f>
        <v>DUDU SANTOS/THAYUAN</v>
      </c>
      <c r="C12" s="39" t="s">
        <v>14</v>
      </c>
      <c r="D12" s="8" t="s">
        <v>15</v>
      </c>
      <c r="E12" s="336"/>
      <c r="F12" s="38" t="str">
        <f>GRUPOS!C12</f>
        <v>DUUH/ÍTALO</v>
      </c>
      <c r="G12" s="25" t="s">
        <v>14</v>
      </c>
      <c r="H12" s="13" t="s">
        <v>15</v>
      </c>
      <c r="I12" s="336"/>
      <c r="J12" s="38" t="str">
        <f>GRUPOS!C13</f>
        <v>PEDRO/MARCELLO</v>
      </c>
      <c r="K12" s="14" t="s">
        <v>14</v>
      </c>
      <c r="L12" s="8" t="s">
        <v>15</v>
      </c>
      <c r="M12" s="362"/>
      <c r="N12" s="38" t="str">
        <f>GRUPOS!C14</f>
        <v>MARCUS KAUAN/EWERTON</v>
      </c>
      <c r="O12" s="25" t="s">
        <v>14</v>
      </c>
      <c r="P12" s="13" t="s">
        <v>15</v>
      </c>
      <c r="Q12" s="287"/>
      <c r="U12" s="2"/>
      <c r="V12" s="2"/>
      <c r="W12" s="2"/>
      <c r="X12" s="2"/>
      <c r="Y12" s="2"/>
      <c r="Z12" s="2"/>
    </row>
    <row r="13" spans="1:26" ht="20.100000000000001" customHeight="1">
      <c r="A13" s="356"/>
      <c r="B13" s="3">
        <v>1</v>
      </c>
      <c r="C13" s="4">
        <f>TABELA!H10</f>
        <v>0</v>
      </c>
      <c r="D13" s="5" t="str">
        <f>TABELA!L10</f>
        <v>W</v>
      </c>
      <c r="E13" s="336"/>
      <c r="F13" s="3">
        <v>1</v>
      </c>
      <c r="G13" s="4">
        <f>TABELA!H12</f>
        <v>17</v>
      </c>
      <c r="H13" s="16">
        <f>TABELA!L12</f>
        <v>21</v>
      </c>
      <c r="I13" s="336"/>
      <c r="J13" s="3">
        <v>1</v>
      </c>
      <c r="K13" s="4">
        <f>TABELA!L12</f>
        <v>21</v>
      </c>
      <c r="L13" s="5">
        <f>TABELA!H12</f>
        <v>17</v>
      </c>
      <c r="M13" s="362"/>
      <c r="N13" s="3">
        <v>1</v>
      </c>
      <c r="O13" s="4" t="str">
        <f>TABELA!L10</f>
        <v>W</v>
      </c>
      <c r="P13" s="16">
        <f>TABELA!H10</f>
        <v>0</v>
      </c>
      <c r="Q13" s="287"/>
      <c r="U13" s="2"/>
      <c r="V13" s="2"/>
      <c r="W13" s="2"/>
      <c r="X13" s="2"/>
      <c r="Y13" s="2"/>
      <c r="Z13" s="2"/>
    </row>
    <row r="14" spans="1:26" ht="20.100000000000001" customHeight="1">
      <c r="A14" s="356"/>
      <c r="B14" s="3">
        <v>2</v>
      </c>
      <c r="C14" s="4">
        <f>TABELA!H14</f>
        <v>0</v>
      </c>
      <c r="D14" s="5" t="str">
        <f>TABELA!L14</f>
        <v>W</v>
      </c>
      <c r="E14" s="336"/>
      <c r="F14" s="3">
        <v>2</v>
      </c>
      <c r="G14" s="4">
        <f>TABELA!H16</f>
        <v>21</v>
      </c>
      <c r="H14" s="5">
        <f>TABELA!L16</f>
        <v>19</v>
      </c>
      <c r="I14" s="336"/>
      <c r="J14" s="3">
        <v>2</v>
      </c>
      <c r="K14" s="4" t="str">
        <f>TABELA!L14</f>
        <v>W</v>
      </c>
      <c r="L14" s="5">
        <f>TABELA!H14</f>
        <v>0</v>
      </c>
      <c r="M14" s="362"/>
      <c r="N14" s="3">
        <v>2</v>
      </c>
      <c r="O14" s="4">
        <f>TABELA!L16</f>
        <v>19</v>
      </c>
      <c r="P14" s="16">
        <f>TABELA!H16</f>
        <v>21</v>
      </c>
      <c r="Q14" s="287"/>
      <c r="U14" s="2"/>
      <c r="V14" s="2"/>
      <c r="W14" s="2"/>
      <c r="X14" s="352"/>
      <c r="Y14" s="352"/>
      <c r="Z14" s="2"/>
    </row>
    <row r="15" spans="1:26" ht="20.100000000000001" customHeight="1">
      <c r="A15" s="356"/>
      <c r="B15" s="6">
        <v>3</v>
      </c>
      <c r="C15" s="4">
        <f>TABELA!H18</f>
        <v>0</v>
      </c>
      <c r="D15" s="16" t="str">
        <f>TABELA!L18</f>
        <v>W</v>
      </c>
      <c r="E15" s="336"/>
      <c r="F15" s="6">
        <v>3</v>
      </c>
      <c r="G15" s="4" t="str">
        <f>TABELA!L18</f>
        <v>W</v>
      </c>
      <c r="H15" s="16">
        <f>TABELA!H18</f>
        <v>0</v>
      </c>
      <c r="I15" s="336"/>
      <c r="J15" s="6">
        <v>3</v>
      </c>
      <c r="K15" s="4">
        <f>TABELA!H20</f>
        <v>21</v>
      </c>
      <c r="L15" s="5">
        <f>TABELA!L20</f>
        <v>14</v>
      </c>
      <c r="M15" s="362"/>
      <c r="N15" s="6">
        <v>3</v>
      </c>
      <c r="O15" s="4">
        <f>TABELA!L20</f>
        <v>14</v>
      </c>
      <c r="P15" s="16">
        <f>TABELA!H20</f>
        <v>21</v>
      </c>
      <c r="Q15" s="287"/>
      <c r="U15" s="2"/>
      <c r="V15" s="2"/>
      <c r="W15" s="2"/>
      <c r="X15" s="40"/>
      <c r="Y15" s="40"/>
      <c r="Z15" s="2"/>
    </row>
    <row r="16" spans="1:26" ht="20.100000000000001" customHeight="1">
      <c r="A16" s="356"/>
      <c r="B16" s="6" t="s">
        <v>0</v>
      </c>
      <c r="C16" s="4">
        <f>SUM(C13:C15)</f>
        <v>0</v>
      </c>
      <c r="D16" s="16">
        <f>SUM(D13:D15)</f>
        <v>0</v>
      </c>
      <c r="E16" s="336"/>
      <c r="F16" s="6" t="s">
        <v>0</v>
      </c>
      <c r="G16" s="15">
        <f>SUM(G13:G15)</f>
        <v>38</v>
      </c>
      <c r="H16" s="16">
        <f>SUM(H13:H15)</f>
        <v>40</v>
      </c>
      <c r="I16" s="336"/>
      <c r="J16" s="6" t="s">
        <v>0</v>
      </c>
      <c r="K16" s="4">
        <f>SUM(K13:K15)</f>
        <v>42</v>
      </c>
      <c r="L16" s="16">
        <f>SUM(L13:L15)</f>
        <v>31</v>
      </c>
      <c r="M16" s="362"/>
      <c r="N16" s="6" t="s">
        <v>0</v>
      </c>
      <c r="O16" s="4">
        <f>SUM(O13:O15)</f>
        <v>33</v>
      </c>
      <c r="P16" s="16">
        <f>SUM(P13:P15)</f>
        <v>42</v>
      </c>
      <c r="Q16" s="287"/>
      <c r="U16" s="2"/>
      <c r="V16" s="2"/>
      <c r="W16" s="2"/>
      <c r="X16" s="40"/>
      <c r="Y16" s="40"/>
      <c r="Z16" s="2"/>
    </row>
    <row r="17" spans="1:26" ht="20.100000000000001" customHeight="1" thickBot="1">
      <c r="A17" s="356"/>
      <c r="B17" s="7" t="s">
        <v>16</v>
      </c>
      <c r="C17" s="12" t="s">
        <v>2</v>
      </c>
      <c r="D17" s="11" t="e">
        <f>C16/D16</f>
        <v>#DIV/0!</v>
      </c>
      <c r="E17" s="336"/>
      <c r="F17" s="7" t="s">
        <v>16</v>
      </c>
      <c r="G17" s="12" t="s">
        <v>1</v>
      </c>
      <c r="H17" s="11">
        <f>G16/H16</f>
        <v>0.95</v>
      </c>
      <c r="I17" s="336"/>
      <c r="J17" s="7" t="s">
        <v>16</v>
      </c>
      <c r="K17" s="12" t="s">
        <v>3</v>
      </c>
      <c r="L17" s="11">
        <f>K16/L16</f>
        <v>1.3548387096774193</v>
      </c>
      <c r="M17" s="362"/>
      <c r="N17" s="7" t="s">
        <v>16</v>
      </c>
      <c r="O17" s="12" t="s">
        <v>4</v>
      </c>
      <c r="P17" s="11">
        <f>O16/P16</f>
        <v>0.7857142857142857</v>
      </c>
      <c r="Q17" s="287"/>
      <c r="U17" s="2"/>
      <c r="V17" s="2"/>
      <c r="W17" s="2"/>
      <c r="X17" s="40"/>
      <c r="Y17" s="40"/>
      <c r="Z17" s="2"/>
    </row>
    <row r="18" spans="1:26" ht="9.9499999999999993" customHeight="1" thickBot="1">
      <c r="A18" s="275"/>
      <c r="B18" s="276"/>
      <c r="C18" s="276"/>
      <c r="D18" s="276"/>
      <c r="E18" s="276"/>
      <c r="F18" s="276"/>
      <c r="G18" s="276"/>
      <c r="H18" s="276"/>
      <c r="I18" s="276"/>
      <c r="J18" s="276"/>
      <c r="K18" s="276"/>
      <c r="L18" s="276"/>
      <c r="M18" s="276"/>
      <c r="N18" s="276"/>
      <c r="O18" s="276"/>
      <c r="P18" s="276"/>
      <c r="Q18" s="277"/>
      <c r="U18" s="2"/>
      <c r="V18" s="2"/>
      <c r="W18" s="2"/>
      <c r="X18" s="40"/>
      <c r="Y18" s="40"/>
      <c r="Z18" s="2"/>
    </row>
    <row r="19" spans="1:26" ht="9.9499999999999993" customHeight="1" thickBot="1">
      <c r="A19" s="9"/>
      <c r="B19" s="10"/>
      <c r="C19" s="10"/>
      <c r="D19" s="10"/>
      <c r="E19" s="10"/>
      <c r="F19" s="10"/>
      <c r="G19" s="10"/>
      <c r="H19" s="10"/>
      <c r="I19" s="10"/>
      <c r="J19" s="10"/>
      <c r="K19" s="10"/>
      <c r="L19" s="10"/>
      <c r="M19" s="10"/>
      <c r="N19" s="10"/>
      <c r="O19" s="10"/>
      <c r="P19" s="10"/>
      <c r="Q19" s="2"/>
      <c r="U19" s="2"/>
      <c r="V19" s="2"/>
      <c r="W19" s="2"/>
      <c r="X19" s="2"/>
      <c r="Y19" s="2"/>
      <c r="Z19" s="2"/>
    </row>
    <row r="20" spans="1:26" ht="9.9499999999999993" customHeight="1" thickBot="1">
      <c r="A20" s="353"/>
      <c r="B20" s="354"/>
      <c r="C20" s="354"/>
      <c r="D20" s="354"/>
      <c r="E20" s="354"/>
      <c r="F20" s="354"/>
      <c r="G20" s="354"/>
      <c r="H20" s="354"/>
      <c r="I20" s="354"/>
      <c r="J20" s="354"/>
      <c r="K20" s="354"/>
      <c r="L20" s="354"/>
      <c r="M20" s="354"/>
      <c r="N20" s="354"/>
      <c r="O20" s="354"/>
      <c r="P20" s="354"/>
      <c r="Q20" s="355"/>
      <c r="U20" s="2"/>
      <c r="V20" s="2"/>
      <c r="W20" s="2"/>
      <c r="X20" s="2"/>
      <c r="Y20" s="2"/>
      <c r="Z20" s="2"/>
    </row>
    <row r="21" spans="1:26" ht="20.100000000000001" customHeight="1" thickBot="1">
      <c r="A21" s="356"/>
      <c r="B21" s="357" t="s">
        <v>67</v>
      </c>
      <c r="C21" s="358"/>
      <c r="D21" s="358"/>
      <c r="E21" s="358"/>
      <c r="F21" s="358"/>
      <c r="G21" s="358"/>
      <c r="H21" s="358"/>
      <c r="I21" s="358"/>
      <c r="J21" s="358"/>
      <c r="K21" s="358"/>
      <c r="L21" s="358"/>
      <c r="M21" s="358"/>
      <c r="N21" s="358"/>
      <c r="O21" s="358"/>
      <c r="P21" s="359"/>
      <c r="Q21" s="287"/>
      <c r="U21" s="2"/>
      <c r="V21" s="2"/>
      <c r="W21" s="2"/>
      <c r="X21" s="2"/>
      <c r="Y21" s="2"/>
      <c r="Z21" s="2"/>
    </row>
    <row r="22" spans="1:26" ht="9.9499999999999993" customHeight="1" thickBot="1">
      <c r="A22" s="356"/>
      <c r="B22" s="360"/>
      <c r="C22" s="360"/>
      <c r="D22" s="360"/>
      <c r="E22" s="360"/>
      <c r="F22" s="360"/>
      <c r="G22" s="360"/>
      <c r="H22" s="360"/>
      <c r="I22" s="360"/>
      <c r="J22" s="360"/>
      <c r="K22" s="360"/>
      <c r="L22" s="360"/>
      <c r="M22" s="360"/>
      <c r="N22" s="360"/>
      <c r="O22" s="360"/>
      <c r="P22" s="360"/>
      <c r="Q22" s="287"/>
      <c r="U22" s="2"/>
      <c r="V22" s="2"/>
      <c r="W22" s="2"/>
      <c r="X22" s="2"/>
      <c r="Y22" s="2"/>
      <c r="Z22" s="2"/>
    </row>
    <row r="23" spans="1:26" ht="20.100000000000001" customHeight="1">
      <c r="A23" s="356"/>
      <c r="B23" s="38" t="str">
        <f>GRUPOS!G11</f>
        <v>JEAN/KAKÁ</v>
      </c>
      <c r="C23" s="39" t="s">
        <v>14</v>
      </c>
      <c r="D23" s="8" t="s">
        <v>15</v>
      </c>
      <c r="E23" s="361"/>
      <c r="F23" s="38" t="str">
        <f>GRUPOS!G12</f>
        <v>ANTÔNIO/LEONARDO</v>
      </c>
      <c r="G23" s="25" t="s">
        <v>14</v>
      </c>
      <c r="H23" s="13" t="s">
        <v>15</v>
      </c>
      <c r="I23" s="336"/>
      <c r="J23" s="38" t="str">
        <f>GRUPOS!G13</f>
        <v>ADRIANO/MARCUS VINÍCIUS</v>
      </c>
      <c r="K23" s="39" t="s">
        <v>14</v>
      </c>
      <c r="L23" s="8" t="s">
        <v>15</v>
      </c>
      <c r="M23" s="362"/>
      <c r="N23" s="38" t="str">
        <f>GRUPOS!G14</f>
        <v>GUILHERME/ENOQUE</v>
      </c>
      <c r="O23" s="39" t="s">
        <v>14</v>
      </c>
      <c r="P23" s="8" t="s">
        <v>15</v>
      </c>
      <c r="Q23" s="287"/>
      <c r="U23" s="2"/>
      <c r="V23" s="2"/>
      <c r="W23" s="2"/>
      <c r="X23" s="2"/>
      <c r="Y23" s="2"/>
      <c r="Z23" s="2"/>
    </row>
    <row r="24" spans="1:26" ht="20.100000000000001" customHeight="1">
      <c r="A24" s="356"/>
      <c r="B24" s="3">
        <v>1</v>
      </c>
      <c r="C24" s="4">
        <f>TABELA!H11</f>
        <v>21</v>
      </c>
      <c r="D24" s="5">
        <f>TABELA!L11</f>
        <v>11</v>
      </c>
      <c r="E24" s="361"/>
      <c r="F24" s="3">
        <v>1</v>
      </c>
      <c r="G24" s="4">
        <f>TABELA!H13</f>
        <v>22</v>
      </c>
      <c r="H24" s="16">
        <f>TABELA!L13</f>
        <v>24</v>
      </c>
      <c r="I24" s="336"/>
      <c r="J24" s="3">
        <v>1</v>
      </c>
      <c r="K24" s="4">
        <f>TABELA!L13</f>
        <v>24</v>
      </c>
      <c r="L24" s="5">
        <f>TABELA!H13</f>
        <v>22</v>
      </c>
      <c r="M24" s="362"/>
      <c r="N24" s="3">
        <v>1</v>
      </c>
      <c r="O24" s="4">
        <f>TABELA!L11</f>
        <v>11</v>
      </c>
      <c r="P24" s="5">
        <f>TABELA!H11</f>
        <v>21</v>
      </c>
      <c r="Q24" s="287"/>
      <c r="U24" s="2"/>
      <c r="V24" s="2"/>
      <c r="W24" s="2"/>
      <c r="X24" s="2"/>
      <c r="Y24" s="2"/>
      <c r="Z24" s="2"/>
    </row>
    <row r="25" spans="1:26" ht="20.100000000000001" customHeight="1">
      <c r="A25" s="356"/>
      <c r="B25" s="3">
        <v>2</v>
      </c>
      <c r="C25" s="4">
        <f>TABELA!H15</f>
        <v>21</v>
      </c>
      <c r="D25" s="5">
        <f>TABELA!L15</f>
        <v>19</v>
      </c>
      <c r="E25" s="361"/>
      <c r="F25" s="3">
        <v>2</v>
      </c>
      <c r="G25" s="4">
        <f>TABELA!H17</f>
        <v>21</v>
      </c>
      <c r="H25" s="16">
        <f>TABELA!L17</f>
        <v>7</v>
      </c>
      <c r="I25" s="336"/>
      <c r="J25" s="3">
        <v>2</v>
      </c>
      <c r="K25" s="4">
        <f>TABELA!L15</f>
        <v>19</v>
      </c>
      <c r="L25" s="5">
        <f>TABELA!H15</f>
        <v>21</v>
      </c>
      <c r="M25" s="362"/>
      <c r="N25" s="3">
        <v>2</v>
      </c>
      <c r="O25" s="4">
        <f>TABELA!L17</f>
        <v>7</v>
      </c>
      <c r="P25" s="5">
        <f>TABELA!H17</f>
        <v>21</v>
      </c>
      <c r="Q25" s="287"/>
      <c r="U25" s="2"/>
      <c r="V25" s="2"/>
      <c r="W25" s="2"/>
      <c r="X25" s="352"/>
      <c r="Y25" s="352"/>
      <c r="Z25" s="2"/>
    </row>
    <row r="26" spans="1:26" ht="20.100000000000001" customHeight="1">
      <c r="A26" s="356"/>
      <c r="B26" s="6">
        <v>3</v>
      </c>
      <c r="C26" s="4">
        <f>TABELA!H19</f>
        <v>23</v>
      </c>
      <c r="D26" s="5">
        <f>TABELA!L19</f>
        <v>25</v>
      </c>
      <c r="E26" s="361"/>
      <c r="F26" s="6">
        <v>3</v>
      </c>
      <c r="G26" s="4">
        <f>TABELA!L19</f>
        <v>25</v>
      </c>
      <c r="H26" s="16">
        <f>TABELA!H19</f>
        <v>23</v>
      </c>
      <c r="I26" s="336"/>
      <c r="J26" s="6">
        <v>3</v>
      </c>
      <c r="K26" s="4">
        <f>TABELA!H21</f>
        <v>21</v>
      </c>
      <c r="L26" s="16">
        <f>TABELA!L21</f>
        <v>7</v>
      </c>
      <c r="M26" s="362"/>
      <c r="N26" s="3">
        <v>3</v>
      </c>
      <c r="O26" s="4">
        <f>TABELA!L21</f>
        <v>7</v>
      </c>
      <c r="P26" s="5">
        <f>TABELA!H21</f>
        <v>21</v>
      </c>
      <c r="Q26" s="287"/>
      <c r="U26" s="2"/>
      <c r="V26" s="2"/>
      <c r="W26" s="2"/>
      <c r="X26" s="40"/>
      <c r="Y26" s="40"/>
      <c r="Z26" s="2"/>
    </row>
    <row r="27" spans="1:26" ht="20.100000000000001" customHeight="1">
      <c r="A27" s="356"/>
      <c r="B27" s="6" t="s">
        <v>0</v>
      </c>
      <c r="C27" s="15">
        <f>SUM(C24:C26)</f>
        <v>65</v>
      </c>
      <c r="D27" s="16">
        <f>SUM(D24:D26)</f>
        <v>55</v>
      </c>
      <c r="E27" s="361"/>
      <c r="F27" s="6" t="s">
        <v>0</v>
      </c>
      <c r="G27" s="15">
        <f>SUM(G24:G26)</f>
        <v>68</v>
      </c>
      <c r="H27" s="16">
        <f>SUM(H24:H26)</f>
        <v>54</v>
      </c>
      <c r="I27" s="336"/>
      <c r="J27" s="6" t="s">
        <v>0</v>
      </c>
      <c r="K27" s="15">
        <f>SUM(K24:K26)</f>
        <v>64</v>
      </c>
      <c r="L27" s="16">
        <f>SUM(L24:L26)</f>
        <v>50</v>
      </c>
      <c r="M27" s="362"/>
      <c r="N27" s="3" t="s">
        <v>0</v>
      </c>
      <c r="O27" s="4">
        <f>SUM(O24:O26)</f>
        <v>25</v>
      </c>
      <c r="P27" s="5">
        <f>SUM(P24:P26)</f>
        <v>63</v>
      </c>
      <c r="Q27" s="287"/>
      <c r="U27" s="2"/>
      <c r="V27" s="2"/>
      <c r="W27" s="2"/>
      <c r="X27" s="40"/>
      <c r="Y27" s="40"/>
      <c r="Z27" s="2"/>
    </row>
    <row r="28" spans="1:26" ht="20.100000000000001" customHeight="1" thickBot="1">
      <c r="A28" s="356"/>
      <c r="B28" s="7" t="s">
        <v>16</v>
      </c>
      <c r="C28" s="12" t="s">
        <v>1</v>
      </c>
      <c r="D28" s="17">
        <f>C27/D27</f>
        <v>1.1818181818181819</v>
      </c>
      <c r="E28" s="361"/>
      <c r="F28" s="7" t="s">
        <v>16</v>
      </c>
      <c r="G28" s="12" t="s">
        <v>2</v>
      </c>
      <c r="H28" s="17">
        <f>G27/H27</f>
        <v>1.2592592592592593</v>
      </c>
      <c r="I28" s="336"/>
      <c r="J28" s="7" t="s">
        <v>16</v>
      </c>
      <c r="K28" s="12" t="s">
        <v>4</v>
      </c>
      <c r="L28" s="17">
        <f>K27/L27</f>
        <v>1.28</v>
      </c>
      <c r="M28" s="362"/>
      <c r="N28" s="60" t="s">
        <v>16</v>
      </c>
      <c r="O28" s="65" t="s">
        <v>3</v>
      </c>
      <c r="P28" s="17">
        <f>O27/P27</f>
        <v>0.3968253968253968</v>
      </c>
      <c r="Q28" s="287"/>
      <c r="U28" s="2"/>
      <c r="V28" s="2"/>
      <c r="W28" s="2"/>
      <c r="X28" s="40"/>
      <c r="Y28" s="40"/>
      <c r="Z28" s="2"/>
    </row>
    <row r="29" spans="1:26" ht="9.9499999999999993" customHeight="1" thickBot="1">
      <c r="A29" s="275"/>
      <c r="B29" s="276"/>
      <c r="C29" s="276"/>
      <c r="D29" s="276"/>
      <c r="E29" s="276"/>
      <c r="F29" s="276"/>
      <c r="G29" s="276"/>
      <c r="H29" s="276"/>
      <c r="I29" s="276"/>
      <c r="J29" s="276"/>
      <c r="K29" s="276"/>
      <c r="L29" s="276"/>
      <c r="M29" s="276"/>
      <c r="N29" s="276"/>
      <c r="O29" s="276"/>
      <c r="P29" s="276"/>
      <c r="Q29" s="277"/>
      <c r="U29" s="2"/>
      <c r="V29" s="2"/>
      <c r="W29" s="2"/>
      <c r="X29" s="40"/>
      <c r="Y29" s="40"/>
      <c r="Z29" s="2"/>
    </row>
    <row r="30" spans="1:26" ht="9.9499999999999993" customHeight="1" thickBot="1">
      <c r="A30" s="9"/>
      <c r="B30" s="10"/>
      <c r="C30" s="10"/>
      <c r="D30" s="10"/>
      <c r="E30" s="10"/>
      <c r="F30" s="10"/>
      <c r="G30" s="10"/>
      <c r="H30" s="10"/>
      <c r="I30" s="10"/>
      <c r="J30" s="10"/>
      <c r="K30" s="10"/>
      <c r="L30" s="10"/>
      <c r="M30" s="10"/>
      <c r="N30" s="10"/>
      <c r="O30" s="10"/>
      <c r="P30" s="10"/>
      <c r="Q30" s="2"/>
      <c r="U30" s="2"/>
      <c r="V30" s="2"/>
      <c r="W30" s="2"/>
      <c r="X30" s="2"/>
      <c r="Y30" s="2"/>
      <c r="Z30" s="2"/>
    </row>
    <row r="31" spans="1:26" ht="24.95" customHeight="1" thickBot="1">
      <c r="B31" s="345" t="s">
        <v>23</v>
      </c>
      <c r="C31" s="346"/>
      <c r="D31" s="346"/>
      <c r="E31" s="346"/>
      <c r="F31" s="346"/>
      <c r="G31" s="346"/>
      <c r="H31" s="346"/>
      <c r="I31" s="346"/>
      <c r="J31" s="346"/>
      <c r="K31" s="346"/>
      <c r="L31" s="347"/>
    </row>
    <row r="32" spans="1:26" ht="24.95" customHeight="1" thickBot="1">
      <c r="B32" s="35" t="s">
        <v>24</v>
      </c>
      <c r="C32" s="348" t="s">
        <v>20</v>
      </c>
      <c r="D32" s="348"/>
      <c r="E32" s="348"/>
      <c r="F32" s="348"/>
      <c r="G32" s="348"/>
      <c r="H32" s="348"/>
      <c r="I32" s="348"/>
      <c r="J32" s="36" t="s">
        <v>29</v>
      </c>
      <c r="K32" s="348" t="s">
        <v>18</v>
      </c>
      <c r="L32" s="349"/>
    </row>
    <row r="33" spans="2:12" ht="24.95" customHeight="1">
      <c r="B33" s="41" t="s">
        <v>68</v>
      </c>
      <c r="C33" s="350" t="s">
        <v>292</v>
      </c>
      <c r="D33" s="350"/>
      <c r="E33" s="350"/>
      <c r="F33" s="350"/>
      <c r="G33" s="350"/>
      <c r="H33" s="350"/>
      <c r="I33" s="350"/>
      <c r="J33" s="42">
        <v>3</v>
      </c>
      <c r="K33" s="350">
        <v>1.3548899999999999</v>
      </c>
      <c r="L33" s="351"/>
    </row>
    <row r="34" spans="2:12" ht="24.95" customHeight="1">
      <c r="B34" s="44" t="s">
        <v>69</v>
      </c>
      <c r="C34" s="341" t="s">
        <v>279</v>
      </c>
      <c r="D34" s="341"/>
      <c r="E34" s="341"/>
      <c r="F34" s="341"/>
      <c r="G34" s="341"/>
      <c r="H34" s="341"/>
      <c r="I34" s="341"/>
      <c r="J34" s="45">
        <v>2</v>
      </c>
      <c r="K34" s="341">
        <v>0.95</v>
      </c>
      <c r="L34" s="342"/>
    </row>
    <row r="35" spans="2:12" ht="24.95" customHeight="1">
      <c r="B35" s="44" t="s">
        <v>70</v>
      </c>
      <c r="C35" s="341" t="s">
        <v>293</v>
      </c>
      <c r="D35" s="341"/>
      <c r="E35" s="341"/>
      <c r="F35" s="341"/>
      <c r="G35" s="341"/>
      <c r="H35" s="341"/>
      <c r="I35" s="341"/>
      <c r="J35" s="45">
        <v>1</v>
      </c>
      <c r="K35" s="341">
        <v>0.78569999999999995</v>
      </c>
      <c r="L35" s="342"/>
    </row>
    <row r="36" spans="2:12" ht="24.95" customHeight="1" thickBot="1">
      <c r="B36" s="63" t="s">
        <v>71</v>
      </c>
      <c r="C36" s="343" t="s">
        <v>288</v>
      </c>
      <c r="D36" s="343"/>
      <c r="E36" s="343"/>
      <c r="F36" s="343"/>
      <c r="G36" s="343"/>
      <c r="H36" s="343"/>
      <c r="I36" s="343"/>
      <c r="J36" s="64">
        <v>0</v>
      </c>
      <c r="K36" s="343"/>
      <c r="L36" s="344"/>
    </row>
    <row r="37" spans="2:12" ht="24.95" customHeight="1">
      <c r="B37" s="61" t="s">
        <v>110</v>
      </c>
      <c r="C37" s="337" t="s">
        <v>282</v>
      </c>
      <c r="D37" s="337"/>
      <c r="E37" s="337"/>
      <c r="F37" s="337"/>
      <c r="G37" s="337"/>
      <c r="H37" s="337"/>
      <c r="I37" s="337"/>
      <c r="J37" s="62">
        <v>2</v>
      </c>
      <c r="K37" s="337">
        <v>1.28</v>
      </c>
      <c r="L37" s="338"/>
    </row>
    <row r="38" spans="2:12" ht="24.95" customHeight="1">
      <c r="B38" s="43" t="s">
        <v>111</v>
      </c>
      <c r="C38" s="339" t="s">
        <v>280</v>
      </c>
      <c r="D38" s="339"/>
      <c r="E38" s="339"/>
      <c r="F38" s="339"/>
      <c r="G38" s="339"/>
      <c r="H38" s="339"/>
      <c r="I38" s="339"/>
      <c r="J38" s="24">
        <v>2</v>
      </c>
      <c r="K38" s="339">
        <v>1.2589999999999999</v>
      </c>
      <c r="L38" s="340"/>
    </row>
    <row r="39" spans="2:12" ht="24.95" customHeight="1">
      <c r="B39" s="43" t="s">
        <v>112</v>
      </c>
      <c r="C39" s="339" t="s">
        <v>278</v>
      </c>
      <c r="D39" s="339"/>
      <c r="E39" s="339"/>
      <c r="F39" s="339"/>
      <c r="G39" s="339"/>
      <c r="H39" s="339"/>
      <c r="I39" s="339"/>
      <c r="J39" s="24">
        <v>2</v>
      </c>
      <c r="K39" s="339">
        <v>1.1818</v>
      </c>
      <c r="L39" s="340"/>
    </row>
    <row r="40" spans="2:12" ht="24.95" customHeight="1" thickBot="1">
      <c r="B40" s="60" t="s">
        <v>71</v>
      </c>
      <c r="C40" s="334" t="s">
        <v>289</v>
      </c>
      <c r="D40" s="334"/>
      <c r="E40" s="334"/>
      <c r="F40" s="334"/>
      <c r="G40" s="334"/>
      <c r="H40" s="334"/>
      <c r="I40" s="334"/>
      <c r="J40" s="65">
        <v>0</v>
      </c>
      <c r="K40" s="334">
        <v>0.39</v>
      </c>
      <c r="L40" s="335"/>
    </row>
    <row r="41" spans="2:12" ht="24.95" customHeight="1"/>
  </sheetData>
  <mergeCells count="48">
    <mergeCell ref="B1:P1"/>
    <mergeCell ref="A1:A7"/>
    <mergeCell ref="Q1:Q7"/>
    <mergeCell ref="B2:P2"/>
    <mergeCell ref="B3:P3"/>
    <mergeCell ref="B4:P4"/>
    <mergeCell ref="B5:P5"/>
    <mergeCell ref="B6:P6"/>
    <mergeCell ref="B7:P7"/>
    <mergeCell ref="A9:Q9"/>
    <mergeCell ref="A10:A17"/>
    <mergeCell ref="B10:P10"/>
    <mergeCell ref="Q10:Q17"/>
    <mergeCell ref="B11:P11"/>
    <mergeCell ref="I12:I17"/>
    <mergeCell ref="M12:M17"/>
    <mergeCell ref="E12:E17"/>
    <mergeCell ref="X14:Y14"/>
    <mergeCell ref="A18:Q18"/>
    <mergeCell ref="A20:Q20"/>
    <mergeCell ref="A21:A28"/>
    <mergeCell ref="B21:P21"/>
    <mergeCell ref="Q21:Q28"/>
    <mergeCell ref="B22:P22"/>
    <mergeCell ref="E23:E28"/>
    <mergeCell ref="M23:M28"/>
    <mergeCell ref="X25:Y25"/>
    <mergeCell ref="B31:L31"/>
    <mergeCell ref="C32:I32"/>
    <mergeCell ref="K32:L32"/>
    <mergeCell ref="C33:I33"/>
    <mergeCell ref="K33:L33"/>
    <mergeCell ref="C40:I40"/>
    <mergeCell ref="K40:L40"/>
    <mergeCell ref="I23:I28"/>
    <mergeCell ref="C37:I37"/>
    <mergeCell ref="K37:L37"/>
    <mergeCell ref="C38:I38"/>
    <mergeCell ref="K38:L38"/>
    <mergeCell ref="C39:I39"/>
    <mergeCell ref="K39:L39"/>
    <mergeCell ref="C34:I34"/>
    <mergeCell ref="K34:L34"/>
    <mergeCell ref="C35:I35"/>
    <mergeCell ref="K35:L35"/>
    <mergeCell ref="C36:I36"/>
    <mergeCell ref="K36:L36"/>
    <mergeCell ref="A29:Q29"/>
  </mergeCells>
  <phoneticPr fontId="23" type="noConversion"/>
  <printOptions horizontalCentered="1" verticalCentered="1"/>
  <pageMargins left="0.98425196850393704" right="0.98425196850393704" top="0.78740157480314965" bottom="0.78740157480314965" header="0.31496062992125984" footer="0.31496062992125984"/>
  <pageSetup paperSize="9" scale="41" pageOrder="overThenDown"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FED155-7D74-415E-BDF0-ED15AD38CE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RANKING 2025</vt:lpstr>
      <vt:lpstr>REGULAMENTO IM</vt:lpstr>
      <vt:lpstr>GRUPOS</vt:lpstr>
      <vt:lpstr>TABELA</vt:lpstr>
      <vt:lpstr>AVERAGE</vt:lpstr>
      <vt:lpstr>'RANKING 2025'!Titulos_de_impressao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 Lucas Vale da Silva</dc:creator>
  <cp:lastModifiedBy>Wander Lucas</cp:lastModifiedBy>
  <cp:lastPrinted>2025-12-03T14:24:10Z</cp:lastPrinted>
  <dcterms:created xsi:type="dcterms:W3CDTF">2022-11-04T18:41:09Z</dcterms:created>
  <dcterms:modified xsi:type="dcterms:W3CDTF">2025-12-11T15:47:45Z</dcterms:modified>
</cp:coreProperties>
</file>