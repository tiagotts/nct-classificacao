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Users\tenlu\OneDrive\Área de Trabalho\5ª ETAPA - 2025 - Parque da Cidade\45+M\"/>
    </mc:Choice>
  </mc:AlternateContent>
  <xr:revisionPtr revIDLastSave="0" documentId="13_ncr:1_{BD220C2D-379C-45AE-9E45-08F5A9584F2E}" xr6:coauthVersionLast="47" xr6:coauthVersionMax="47" xr10:uidLastSave="{00000000-0000-0000-0000-000000000000}"/>
  <bookViews>
    <workbookView xWindow="-120" yWindow="-120" windowWidth="20730" windowHeight="11040" tabRatio="630" xr2:uid="{F3961328-0035-4217-99ED-6477153DAF09}"/>
  </bookViews>
  <sheets>
    <sheet name="RANKING 2025" sheetId="52" r:id="rId1"/>
    <sheet name="REGULAMENTO" sheetId="47" r:id="rId2"/>
    <sheet name="GRUPOS" sheetId="48" r:id="rId3"/>
    <sheet name="TABELA" sheetId="49" r:id="rId4"/>
    <sheet name="AVERAGE " sheetId="50" r:id="rId5"/>
  </sheets>
  <definedNames>
    <definedName name="FromArray_1" localSheetId="0">_xlfn.ANCHORARRAY(#REF!)</definedName>
    <definedName name="FromArray_1">_xlfn.ANCHORARRAY(#REF!)</definedName>
    <definedName name="_xlnm.Print_Titles" localSheetId="0">'RANKING 2025'!$1:$6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3" i="52" l="1"/>
  <c r="L46" i="52"/>
  <c r="L47" i="52"/>
  <c r="L53" i="52"/>
  <c r="L31" i="52"/>
  <c r="L52" i="52"/>
  <c r="L51" i="52"/>
  <c r="L50" i="52"/>
  <c r="L49" i="52"/>
  <c r="L48" i="52"/>
  <c r="L45" i="52"/>
  <c r="L38" i="52"/>
  <c r="L44" i="52"/>
  <c r="L28" i="52"/>
  <c r="L42" i="52"/>
  <c r="L41" i="52"/>
  <c r="L40" i="52"/>
  <c r="L39" i="52"/>
  <c r="L29" i="52"/>
  <c r="L37" i="52"/>
  <c r="L36" i="52"/>
  <c r="L35" i="52"/>
  <c r="L25" i="52"/>
  <c r="L34" i="52"/>
  <c r="L33" i="52"/>
  <c r="L24" i="52"/>
  <c r="L27" i="52"/>
  <c r="L26" i="52"/>
  <c r="L32" i="52"/>
  <c r="L30" i="52"/>
  <c r="L22" i="52"/>
  <c r="L23" i="52"/>
  <c r="L21" i="52"/>
  <c r="L18" i="52"/>
  <c r="L20" i="52"/>
  <c r="L17" i="52"/>
  <c r="L19" i="52"/>
  <c r="L13" i="52"/>
  <c r="L10" i="52"/>
  <c r="L7" i="52"/>
  <c r="L16" i="52"/>
  <c r="L12" i="52"/>
  <c r="L11" i="52"/>
  <c r="L14" i="52"/>
  <c r="L8" i="52"/>
  <c r="L15" i="52"/>
  <c r="L9" i="52"/>
  <c r="P37" i="50" l="1"/>
  <c r="O37" i="50"/>
  <c r="L37" i="50"/>
  <c r="K37" i="50"/>
  <c r="H37" i="50"/>
  <c r="G37" i="50"/>
  <c r="D37" i="50"/>
  <c r="C37" i="50"/>
  <c r="P36" i="50"/>
  <c r="O36" i="50"/>
  <c r="L36" i="50"/>
  <c r="K36" i="50"/>
  <c r="H36" i="50"/>
  <c r="G36" i="50"/>
  <c r="D36" i="50"/>
  <c r="C36" i="50"/>
  <c r="P35" i="50"/>
  <c r="O35" i="50"/>
  <c r="L35" i="50"/>
  <c r="K35" i="50"/>
  <c r="H35" i="50"/>
  <c r="G35" i="50"/>
  <c r="D35" i="50"/>
  <c r="C35" i="50"/>
  <c r="P26" i="50"/>
  <c r="O26" i="50"/>
  <c r="L26" i="50"/>
  <c r="K26" i="50"/>
  <c r="H26" i="50"/>
  <c r="G26" i="50"/>
  <c r="D26" i="50"/>
  <c r="C26" i="50"/>
  <c r="P25" i="50"/>
  <c r="O25" i="50"/>
  <c r="L25" i="50"/>
  <c r="K25" i="50"/>
  <c r="H25" i="50"/>
  <c r="G25" i="50"/>
  <c r="D25" i="50"/>
  <c r="C25" i="50"/>
  <c r="P24" i="50"/>
  <c r="O24" i="50"/>
  <c r="L24" i="50"/>
  <c r="K24" i="50"/>
  <c r="H24" i="50"/>
  <c r="G24" i="50"/>
  <c r="D24" i="50"/>
  <c r="C24" i="50"/>
  <c r="P15" i="50"/>
  <c r="O15" i="50"/>
  <c r="L15" i="50"/>
  <c r="K15" i="50"/>
  <c r="H15" i="50"/>
  <c r="G15" i="50"/>
  <c r="D15" i="50"/>
  <c r="C15" i="50"/>
  <c r="P14" i="50"/>
  <c r="O14" i="50"/>
  <c r="L14" i="50"/>
  <c r="K14" i="50"/>
  <c r="H14" i="50"/>
  <c r="G14" i="50"/>
  <c r="D14" i="50"/>
  <c r="C14" i="50"/>
  <c r="P13" i="50"/>
  <c r="O13" i="50"/>
  <c r="L13" i="50"/>
  <c r="K13" i="50"/>
  <c r="H13" i="50"/>
  <c r="G13" i="50"/>
  <c r="D13" i="50"/>
  <c r="C13" i="50"/>
  <c r="K33" i="49"/>
  <c r="G33" i="49"/>
  <c r="K32" i="49"/>
  <c r="G32" i="49"/>
  <c r="K31" i="49"/>
  <c r="G31" i="49"/>
  <c r="K30" i="49"/>
  <c r="G30" i="49"/>
  <c r="S21" i="48"/>
  <c r="S19" i="48"/>
  <c r="S28" i="48"/>
  <c r="S23" i="48"/>
  <c r="S26" i="48"/>
  <c r="S18" i="48"/>
  <c r="S25" i="48"/>
  <c r="S29" i="48"/>
  <c r="S20" i="48"/>
  <c r="S22" i="48"/>
  <c r="S24" i="48"/>
  <c r="S27" i="48"/>
  <c r="K14" i="48"/>
  <c r="N34" i="50" s="1"/>
  <c r="G14" i="48"/>
  <c r="K26" i="49" s="1"/>
  <c r="C14" i="48"/>
  <c r="K10" i="49" s="1"/>
  <c r="K13" i="48"/>
  <c r="K15" i="49" s="1"/>
  <c r="G13" i="48"/>
  <c r="J23" i="50" s="1"/>
  <c r="C13" i="48"/>
  <c r="J12" i="50" s="1"/>
  <c r="K12" i="48"/>
  <c r="G21" i="49" s="1"/>
  <c r="G12" i="48"/>
  <c r="G20" i="49" s="1"/>
  <c r="C12" i="48"/>
  <c r="G13" i="49" s="1"/>
  <c r="K11" i="48"/>
  <c r="B34" i="50" s="1"/>
  <c r="G11" i="48"/>
  <c r="G17" i="49" s="1"/>
  <c r="C11" i="48"/>
  <c r="G22" i="49" s="1"/>
  <c r="P16" i="50" l="1"/>
  <c r="L27" i="50"/>
  <c r="P38" i="50"/>
  <c r="F34" i="50"/>
  <c r="O38" i="50"/>
  <c r="O27" i="50"/>
  <c r="G38" i="50"/>
  <c r="C27" i="50"/>
  <c r="H27" i="50"/>
  <c r="G16" i="50"/>
  <c r="H38" i="50"/>
  <c r="P27" i="50"/>
  <c r="G27" i="50"/>
  <c r="H16" i="50"/>
  <c r="O16" i="50"/>
  <c r="D38" i="50"/>
  <c r="K38" i="50"/>
  <c r="C38" i="50"/>
  <c r="L38" i="50"/>
  <c r="D27" i="50"/>
  <c r="D28" i="50" s="1"/>
  <c r="K27" i="50"/>
  <c r="L28" i="50" s="1"/>
  <c r="D16" i="50"/>
  <c r="K16" i="50"/>
  <c r="C16" i="50"/>
  <c r="L16" i="50"/>
  <c r="K19" i="49"/>
  <c r="K25" i="49"/>
  <c r="N12" i="50"/>
  <c r="N23" i="50"/>
  <c r="K20" i="49"/>
  <c r="K11" i="49"/>
  <c r="K21" i="49"/>
  <c r="K23" i="49"/>
  <c r="K13" i="49"/>
  <c r="K16" i="49"/>
  <c r="G14" i="49"/>
  <c r="G18" i="49"/>
  <c r="F23" i="50"/>
  <c r="G26" i="49"/>
  <c r="J34" i="50"/>
  <c r="K14" i="49"/>
  <c r="K18" i="49"/>
  <c r="K22" i="49"/>
  <c r="G11" i="49"/>
  <c r="G15" i="49"/>
  <c r="G19" i="49"/>
  <c r="G23" i="49"/>
  <c r="G27" i="49"/>
  <c r="B23" i="50"/>
  <c r="K17" i="49"/>
  <c r="K27" i="49"/>
  <c r="G12" i="49"/>
  <c r="G16" i="49"/>
  <c r="G24" i="49"/>
  <c r="B12" i="50"/>
  <c r="G10" i="49"/>
  <c r="K12" i="49"/>
  <c r="K24" i="49"/>
  <c r="F12" i="50"/>
  <c r="G25" i="49"/>
  <c r="P17" i="50" l="1"/>
  <c r="P39" i="50"/>
  <c r="D17" i="50"/>
  <c r="H39" i="50"/>
  <c r="D39" i="50"/>
  <c r="L17" i="50"/>
  <c r="H17" i="50"/>
  <c r="L39" i="50"/>
  <c r="P28" i="50"/>
  <c r="H28" i="50"/>
</calcChain>
</file>

<file path=xl/sharedStrings.xml><?xml version="1.0" encoding="utf-8"?>
<sst xmlns="http://schemas.openxmlformats.org/spreadsheetml/2006/main" count="630" uniqueCount="314">
  <si>
    <t>TOTAL</t>
  </si>
  <si>
    <t>1º</t>
  </si>
  <si>
    <t>4º</t>
  </si>
  <si>
    <t>2º</t>
  </si>
  <si>
    <t>3º</t>
  </si>
  <si>
    <t>5º</t>
  </si>
  <si>
    <t>6º</t>
  </si>
  <si>
    <t>7º</t>
  </si>
  <si>
    <t>8º</t>
  </si>
  <si>
    <t>Jogo</t>
  </si>
  <si>
    <t>Hora</t>
  </si>
  <si>
    <t>Quadra</t>
  </si>
  <si>
    <t>Equipe 1</t>
  </si>
  <si>
    <t>Equipe 2</t>
  </si>
  <si>
    <t>PRO</t>
  </si>
  <si>
    <t>CONTRA</t>
  </si>
  <si>
    <t>A</t>
  </si>
  <si>
    <t>MEDIA</t>
  </si>
  <si>
    <t>B</t>
  </si>
  <si>
    <t>X</t>
  </si>
  <si>
    <t>AVERAGE</t>
  </si>
  <si>
    <t>DUPLA</t>
  </si>
  <si>
    <t>Dupla</t>
  </si>
  <si>
    <t>TABELA</t>
  </si>
  <si>
    <t>CLASSIFICADOS</t>
  </si>
  <si>
    <t>POSIÇÃO</t>
  </si>
  <si>
    <t>item</t>
  </si>
  <si>
    <t>Título</t>
  </si>
  <si>
    <t>Descrição</t>
  </si>
  <si>
    <t>Observação</t>
  </si>
  <si>
    <t>VITÓRIAS</t>
  </si>
  <si>
    <t>Grupo</t>
  </si>
  <si>
    <t>GRUPO A</t>
  </si>
  <si>
    <t>GRUPO B</t>
  </si>
  <si>
    <t>REGULAMENTO</t>
  </si>
  <si>
    <t>Ranking de entrada</t>
  </si>
  <si>
    <t>Distribuição dos grupos</t>
  </si>
  <si>
    <t>Quantidade de jogos</t>
  </si>
  <si>
    <t>*Exceto a final 2.</t>
  </si>
  <si>
    <t>Sistema de disputa da 1ª fase</t>
  </si>
  <si>
    <t>Pontuação em Wx0</t>
  </si>
  <si>
    <t>As partidas resolvidas pela não apresentação de uma dupla resultará na vitória da dupla que se apresentou, contudo, não haverá saldo de pontos para nenhuma das duplas envolvidas. No caso de duplo W x 0, as duas duplas serão consideradas derrotadas e, consequentemente, sem saldo de pontos.</t>
  </si>
  <si>
    <t>Pontuação em partida abandonada por desistência</t>
  </si>
  <si>
    <t>As partidas em que uma dupla desistir de continuar a partida, terá o placar de 21 (ou diferença de 2 pontos) para a equipe que não desistiu. A dupla que desistiu permanece com a pontuação do momento da desistência.</t>
  </si>
  <si>
    <t>Semifinais</t>
  </si>
  <si>
    <t>Pontuação no Ranking</t>
  </si>
  <si>
    <t>A distribuição de pontos por atleta ao final de cada etapa se dará da seguinte forma:</t>
  </si>
  <si>
    <r>
      <t xml:space="preserve">1º lugar: </t>
    </r>
    <r>
      <rPr>
        <b/>
        <sz val="13"/>
        <color theme="1"/>
        <rFont val="Aptos"/>
        <family val="2"/>
      </rPr>
      <t>200</t>
    </r>
    <r>
      <rPr>
        <sz val="13"/>
        <color theme="1"/>
        <rFont val="Aptos"/>
        <family val="2"/>
      </rPr>
      <t xml:space="preserve"> / 2º lugar: </t>
    </r>
    <r>
      <rPr>
        <b/>
        <sz val="13"/>
        <color theme="1"/>
        <rFont val="Aptos"/>
        <family val="2"/>
      </rPr>
      <t xml:space="preserve">180  </t>
    </r>
    <r>
      <rPr>
        <sz val="13"/>
        <color theme="1"/>
        <rFont val="Aptos"/>
        <family val="2"/>
      </rPr>
      <t>/ 3º lugar:</t>
    </r>
    <r>
      <rPr>
        <b/>
        <sz val="13"/>
        <color theme="1"/>
        <rFont val="Aptos"/>
        <family val="2"/>
      </rPr>
      <t xml:space="preserve"> 160</t>
    </r>
    <r>
      <rPr>
        <sz val="13"/>
        <color theme="1"/>
        <rFont val="Aptos"/>
        <family val="2"/>
      </rPr>
      <t xml:space="preserve"> / 4º lugar: </t>
    </r>
    <r>
      <rPr>
        <b/>
        <sz val="13"/>
        <color theme="1"/>
        <rFont val="Aptos"/>
        <family val="2"/>
      </rPr>
      <t>140</t>
    </r>
    <r>
      <rPr>
        <sz val="13"/>
        <color theme="1"/>
        <rFont val="Aptos"/>
        <family val="2"/>
      </rPr>
      <t xml:space="preserve"> / 5º lugar: </t>
    </r>
    <r>
      <rPr>
        <b/>
        <sz val="13"/>
        <color theme="1"/>
        <rFont val="Aptos"/>
        <family val="2"/>
      </rPr>
      <t>120</t>
    </r>
    <r>
      <rPr>
        <sz val="13"/>
        <color theme="1"/>
        <rFont val="Aptos"/>
        <family val="2"/>
      </rPr>
      <t xml:space="preserve"> / 9º lugar: </t>
    </r>
    <r>
      <rPr>
        <b/>
        <sz val="13"/>
        <color theme="1"/>
        <rFont val="Aptos"/>
        <family val="2"/>
      </rPr>
      <t>100.</t>
    </r>
  </si>
  <si>
    <t>Penalidades</t>
  </si>
  <si>
    <t>Suspensão de partidas</t>
  </si>
  <si>
    <t>As partidas que precisarem ser suspensas por motivos de mau tempo, falta de iluminação e assemelhados, retornará com o placar da interrupção, caso isso ocorra em até 4 horas. Após isso, a partida recomeçará com o placar de 0x0.</t>
  </si>
  <si>
    <t>Uniformização</t>
  </si>
  <si>
    <t>Obrigatória.</t>
  </si>
  <si>
    <t>Bermudas da mesma cor.</t>
  </si>
  <si>
    <t>Preferencialmente.</t>
  </si>
  <si>
    <t>Horário de início</t>
  </si>
  <si>
    <t>Local da competição</t>
  </si>
  <si>
    <t>Quantidade de duplas</t>
  </si>
  <si>
    <t>Quantidade de sets*</t>
  </si>
  <si>
    <t xml:space="preserve">Todos contra todos no grupo. </t>
  </si>
  <si>
    <t>A atleta que agir com desrespeito e violência em relação à arbitragem, adversários, parceiro e qualquer pessoa presente,  poderá ser suspenso ou banido do Circuito NCT por deliberação da Comissão Organizadora.</t>
  </si>
  <si>
    <t>3 jogos por equipe.</t>
  </si>
  <si>
    <t>1 Set de 21 pontos.</t>
  </si>
  <si>
    <t>Critérios de desempate para definição de posições no grupo</t>
  </si>
  <si>
    <t>1º - nº de vitórias.</t>
  </si>
  <si>
    <t>2º - ponto average.</t>
  </si>
  <si>
    <t>3º - confronto direto.</t>
  </si>
  <si>
    <t>4º - sorteio.</t>
  </si>
  <si>
    <t>Final 1 (disputa pelo 3º lugar)</t>
  </si>
  <si>
    <t>Final 2: (disputa pelo 1º lugar)</t>
  </si>
  <si>
    <r>
      <t xml:space="preserve">Jogo entre os vencedores das semifinais:  </t>
    </r>
    <r>
      <rPr>
        <b/>
        <sz val="13"/>
        <color theme="1"/>
        <rFont val="Aptos"/>
        <family val="2"/>
      </rPr>
      <t>2 s</t>
    </r>
    <r>
      <rPr>
        <b/>
        <i/>
        <sz val="13"/>
        <color theme="1"/>
        <rFont val="Aptos"/>
        <family val="2"/>
      </rPr>
      <t xml:space="preserve">ets </t>
    </r>
    <r>
      <rPr>
        <b/>
        <sz val="13"/>
        <color theme="1"/>
        <rFont val="Aptos"/>
        <family val="2"/>
      </rPr>
      <t xml:space="preserve">de 21 pontos e </t>
    </r>
    <r>
      <rPr>
        <b/>
        <i/>
        <sz val="13"/>
        <color theme="1"/>
        <rFont val="Aptos"/>
        <family val="2"/>
      </rPr>
      <t xml:space="preserve">set </t>
    </r>
    <r>
      <rPr>
        <b/>
        <sz val="13"/>
        <color theme="1"/>
        <rFont val="Aptos"/>
        <family val="2"/>
      </rPr>
      <t>desempate de 15 pontos.</t>
    </r>
  </si>
  <si>
    <r>
      <t xml:space="preserve">Jogo entre os perdedores das semifinais: </t>
    </r>
    <r>
      <rPr>
        <b/>
        <sz val="13"/>
        <color theme="1"/>
        <rFont val="Aptos"/>
        <family val="2"/>
      </rPr>
      <t>1 Set de 21 pontos.</t>
    </r>
  </si>
  <si>
    <t>QF</t>
  </si>
  <si>
    <t>SF</t>
  </si>
  <si>
    <t>F1</t>
  </si>
  <si>
    <t>F2</t>
  </si>
  <si>
    <t>CIRCUITO NCT VÔLEI DE PRAIA - 2025</t>
  </si>
  <si>
    <t>Camiseta oficial do Circuito NCT Vôlei de Praia 2025.</t>
  </si>
  <si>
    <t>Final 2: disputa pelo 1º lugar</t>
  </si>
  <si>
    <t>Fase de grupos</t>
  </si>
  <si>
    <t>Parque da Cidade</t>
  </si>
  <si>
    <t>Modelo de serpentina seguindo ranking 2025.</t>
  </si>
  <si>
    <t>RANKING</t>
  </si>
  <si>
    <t>Atleta</t>
  </si>
  <si>
    <t>UF</t>
  </si>
  <si>
    <t>1ª Etapa</t>
  </si>
  <si>
    <t>Total</t>
  </si>
  <si>
    <t>Arena Caffe</t>
  </si>
  <si>
    <t>DF</t>
  </si>
  <si>
    <t>CT Leander</t>
  </si>
  <si>
    <t>RJ</t>
  </si>
  <si>
    <t>GRUPOS</t>
  </si>
  <si>
    <t>Distribuição pelo ranking no modo serpentina</t>
  </si>
  <si>
    <t xml:space="preserve"> </t>
  </si>
  <si>
    <t>RANKING 2025</t>
  </si>
  <si>
    <t>NCT Vôlei de Praia</t>
  </si>
  <si>
    <t>CT Vôlei Brasília</t>
  </si>
  <si>
    <t>Vamo Beach</t>
  </si>
  <si>
    <t>4ª Etapa</t>
  </si>
  <si>
    <t>Arena 61</t>
  </si>
  <si>
    <t>Ranking da temporada 2025. Nos casos de empate, prevalecerá a equipe que tiver a maior quantidade de melhores posições. P. ex.: o empate em pontos entre duplas será resolvido a favor da dupla que tem o maior número de 1º lugares, 2º, etc, e assim sucessivamente. Permancendo o empate, haverá sorteio.</t>
  </si>
  <si>
    <t>12 duplas (24 atletas).</t>
  </si>
  <si>
    <t>26 partidas.</t>
  </si>
  <si>
    <t>Classificação no grupo</t>
  </si>
  <si>
    <t>Classificam-se os dois primeiros colocados de cada grupo e os dois melhores terceiros colocados nos três grupos.</t>
  </si>
  <si>
    <t>Classificação para quartas-de-final</t>
  </si>
  <si>
    <t>Classificação geral de 1º a 8º lugares,  INDEPENDENTE DA POSIÇÃO DE CLASSIFICAÇÃO NO GRUPO, observando os critérios do item 7.</t>
  </si>
  <si>
    <t>Distribuição de confrontos nas quartas-de-final</t>
  </si>
  <si>
    <r>
      <t xml:space="preserve">Cruzamentos:  </t>
    </r>
    <r>
      <rPr>
        <b/>
        <sz val="13"/>
        <color rgb="FFFF0000"/>
        <rFont val="Aptos"/>
        <family val="2"/>
      </rPr>
      <t xml:space="preserve">(A: </t>
    </r>
    <r>
      <rPr>
        <b/>
        <u/>
        <sz val="13"/>
        <color rgb="FFFF0000"/>
        <rFont val="Aptos"/>
        <family val="2"/>
      </rPr>
      <t>1º X 8º</t>
    </r>
    <r>
      <rPr>
        <b/>
        <sz val="13"/>
        <color rgb="FFFF0000"/>
        <rFont val="Aptos"/>
        <family val="2"/>
      </rPr>
      <t xml:space="preserve">) versus (B: </t>
    </r>
    <r>
      <rPr>
        <b/>
        <u/>
        <sz val="13"/>
        <color rgb="FFFF0000"/>
        <rFont val="Aptos"/>
        <family val="2"/>
      </rPr>
      <t>4º X 5º</t>
    </r>
    <r>
      <rPr>
        <b/>
        <sz val="13"/>
        <color rgb="FFFF0000"/>
        <rFont val="Aptos"/>
        <family val="2"/>
      </rPr>
      <t>)</t>
    </r>
    <r>
      <rPr>
        <sz val="13"/>
        <color theme="1"/>
        <rFont val="Aptos"/>
        <family val="2"/>
      </rPr>
      <t xml:space="preserve"> / </t>
    </r>
    <r>
      <rPr>
        <b/>
        <sz val="13"/>
        <color rgb="FF0070C0"/>
        <rFont val="Aptos"/>
        <family val="2"/>
      </rPr>
      <t xml:space="preserve">(C: </t>
    </r>
    <r>
      <rPr>
        <b/>
        <u/>
        <sz val="13"/>
        <color rgb="FF0070C0"/>
        <rFont val="Aptos"/>
        <family val="2"/>
      </rPr>
      <t>2º X 7º</t>
    </r>
    <r>
      <rPr>
        <b/>
        <sz val="13"/>
        <color rgb="FF0070C0"/>
        <rFont val="Aptos"/>
        <family val="2"/>
      </rPr>
      <t xml:space="preserve">) versus (D: </t>
    </r>
    <r>
      <rPr>
        <b/>
        <u/>
        <sz val="13"/>
        <color rgb="FF0070C0"/>
        <rFont val="Aptos"/>
        <family val="2"/>
      </rPr>
      <t>3º X 6º</t>
    </r>
    <r>
      <rPr>
        <b/>
        <sz val="13"/>
        <color rgb="FF0070C0"/>
        <rFont val="Aptos"/>
        <family val="2"/>
      </rPr>
      <t>)</t>
    </r>
    <r>
      <rPr>
        <sz val="13"/>
        <color theme="1"/>
        <rFont val="Aptos"/>
        <family val="2"/>
      </rPr>
      <t>.</t>
    </r>
  </si>
  <si>
    <r>
      <t xml:space="preserve">Cruzamentos:  </t>
    </r>
    <r>
      <rPr>
        <b/>
        <sz val="13"/>
        <color rgb="FFFF0000"/>
        <rFont val="Aptos"/>
        <family val="2"/>
      </rPr>
      <t xml:space="preserve">(A X B) </t>
    </r>
    <r>
      <rPr>
        <sz val="13"/>
        <rFont val="Aptos"/>
        <family val="2"/>
      </rPr>
      <t>e</t>
    </r>
    <r>
      <rPr>
        <b/>
        <sz val="13"/>
        <color rgb="FF0070C0"/>
        <rFont val="Aptos"/>
        <family val="2"/>
      </rPr>
      <t xml:space="preserve"> (C  X D)</t>
    </r>
    <r>
      <rPr>
        <sz val="13"/>
        <color theme="1"/>
        <rFont val="Aptos"/>
        <family val="2"/>
      </rPr>
      <t>.</t>
    </r>
  </si>
  <si>
    <t>GRUPO C</t>
  </si>
  <si>
    <t>RK</t>
  </si>
  <si>
    <t>CÓD</t>
  </si>
  <si>
    <t>A1</t>
  </si>
  <si>
    <t>B1</t>
  </si>
  <si>
    <t>C1</t>
  </si>
  <si>
    <t>A2</t>
  </si>
  <si>
    <t>B2</t>
  </si>
  <si>
    <t>C2</t>
  </si>
  <si>
    <t>A3</t>
  </si>
  <si>
    <t>B3</t>
  </si>
  <si>
    <t>9º</t>
  </si>
  <si>
    <t>C3</t>
  </si>
  <si>
    <t>12º</t>
  </si>
  <si>
    <t>A4</t>
  </si>
  <si>
    <t>11º</t>
  </si>
  <si>
    <t>B4</t>
  </si>
  <si>
    <t>10º</t>
  </si>
  <si>
    <t>C4</t>
  </si>
  <si>
    <t>RANKING DE ENTRADA (DUPLAS) - MASTER 45+</t>
  </si>
  <si>
    <t>PONTUAÇÃO</t>
  </si>
  <si>
    <t>INSCRIÇÕES</t>
  </si>
  <si>
    <t>AT 1</t>
  </si>
  <si>
    <t>AT 2</t>
  </si>
  <si>
    <t>Código</t>
  </si>
  <si>
    <t>C</t>
  </si>
  <si>
    <t>:</t>
  </si>
  <si>
    <t>V J 19</t>
  </si>
  <si>
    <t>V J 20</t>
  </si>
  <si>
    <t>V J 21</t>
  </si>
  <si>
    <t>V J 22</t>
  </si>
  <si>
    <t>Final 1: disputa pelo 3º lugar</t>
  </si>
  <si>
    <t>P J 23</t>
  </si>
  <si>
    <t>P J 24</t>
  </si>
  <si>
    <t>V J 23</t>
  </si>
  <si>
    <t>V J 24</t>
  </si>
  <si>
    <t/>
  </si>
  <si>
    <t>CLASSIFICAÇÃO NO GRUPO</t>
  </si>
  <si>
    <t>RASCUNHO</t>
  </si>
  <si>
    <t>2ª Etapa</t>
  </si>
  <si>
    <t>3ª Etapa</t>
  </si>
  <si>
    <t>GO</t>
  </si>
  <si>
    <t>Não tem</t>
  </si>
  <si>
    <t>5ª Etapa</t>
  </si>
  <si>
    <t>Parque da Cidade Sarah Kubitschek (próximo à ADM) - Localização compartilhada no grupo de whatsapp</t>
  </si>
  <si>
    <t>5ª Etapa - Parque da Cidade</t>
  </si>
  <si>
    <t>Master 45+ Masculino</t>
  </si>
  <si>
    <t>Posição</t>
  </si>
  <si>
    <t>Nome completo</t>
  </si>
  <si>
    <t>Centro de</t>
  </si>
  <si>
    <t xml:space="preserve"> Treinamento</t>
  </si>
  <si>
    <t>JALEX</t>
  </si>
  <si>
    <t>Jorge Alexandre Costa</t>
  </si>
  <si>
    <t>Mundial do Guará</t>
  </si>
  <si>
    <t>GILSÃO</t>
  </si>
  <si>
    <t xml:space="preserve">Gilson Francisco dos Santos </t>
  </si>
  <si>
    <t>Metropolitana</t>
  </si>
  <si>
    <t>SANDRO GRADICI</t>
  </si>
  <si>
    <t>Sandro Gradici</t>
  </si>
  <si>
    <t>Praia e Cerrado ASTCU</t>
  </si>
  <si>
    <t>EURÍPEDES</t>
  </si>
  <si>
    <t>Euripedes Nunes Braga</t>
  </si>
  <si>
    <t>Fitvôlei Nação</t>
  </si>
  <si>
    <t>JEFF MISERA</t>
  </si>
  <si>
    <t>Jefferson Lourenço de Oliveira</t>
  </si>
  <si>
    <t>MARCO RAMOS</t>
  </si>
  <si>
    <t>Marco Antonio dos Santos Ramos</t>
  </si>
  <si>
    <t>LOBERA</t>
  </si>
  <si>
    <t>Welton Rabelo da Silva</t>
  </si>
  <si>
    <t>FABIANO</t>
  </si>
  <si>
    <t>Fabiano de Oliveira Ananias</t>
  </si>
  <si>
    <t>IVAN</t>
  </si>
  <si>
    <t>Ivan Fonseca Filho</t>
  </si>
  <si>
    <t>CLÁUDIO</t>
  </si>
  <si>
    <t>Cláudio Torres de Oliveira</t>
  </si>
  <si>
    <t>JEFFERSON</t>
  </si>
  <si>
    <t>Jefferson de Oliveira Melo</t>
  </si>
  <si>
    <t>CT Ceilândia/JK</t>
  </si>
  <si>
    <t>CHARLLES</t>
  </si>
  <si>
    <t>Charlles Elias Sales Silva</t>
  </si>
  <si>
    <t>CT Ceilândia</t>
  </si>
  <si>
    <t>DIVINO</t>
  </si>
  <si>
    <t>LEANDRÃO</t>
  </si>
  <si>
    <t>Leandro Roberto de Lima Aoyama</t>
  </si>
  <si>
    <t>BETO</t>
  </si>
  <si>
    <t>Jose Roberto de Abreu Carretero Filho</t>
  </si>
  <si>
    <t>JR Integração</t>
  </si>
  <si>
    <t>JUCA</t>
  </si>
  <si>
    <t xml:space="preserve">José Joaquim da Silva Júnior </t>
  </si>
  <si>
    <t>Iate Clube</t>
  </si>
  <si>
    <t>RENATO</t>
  </si>
  <si>
    <t>Renato Ferreira dos Santos</t>
  </si>
  <si>
    <t>DENNY</t>
  </si>
  <si>
    <t>Denny Calvis Lopes</t>
  </si>
  <si>
    <t>ALAN</t>
  </si>
  <si>
    <t>Alan Carlos Brandão</t>
  </si>
  <si>
    <t>Luziânia</t>
  </si>
  <si>
    <t>CONDOR</t>
  </si>
  <si>
    <t>Robson Ulisses</t>
  </si>
  <si>
    <t>GRANDE</t>
  </si>
  <si>
    <t>Euzélio Guimarães</t>
  </si>
  <si>
    <t>JUVENAL</t>
  </si>
  <si>
    <t>Juvenal de Souza Andrade</t>
  </si>
  <si>
    <t>MARCELO</t>
  </si>
  <si>
    <t>Marcelo de Brito Gaspareto</t>
  </si>
  <si>
    <t>MILER</t>
  </si>
  <si>
    <t>Milciades Leal de Souza</t>
  </si>
  <si>
    <t>PRESIDENTE</t>
  </si>
  <si>
    <t>George Adriano Teles Rodrigues</t>
  </si>
  <si>
    <t>W. LUCAS</t>
  </si>
  <si>
    <t>Wander Lucas Val da Silva</t>
  </si>
  <si>
    <t>CÉSAR</t>
  </si>
  <si>
    <t xml:space="preserve">César Augusto Tavares Chagas </t>
  </si>
  <si>
    <t>Ninho da Corija</t>
  </si>
  <si>
    <t>DIOGO</t>
  </si>
  <si>
    <t xml:space="preserve">Diogo Tadamitsu Takahashi </t>
  </si>
  <si>
    <t>PAULO CEARÁ</t>
  </si>
  <si>
    <t>Paulo Itaicy Marques Rodrigues</t>
  </si>
  <si>
    <t>WASHINGTON</t>
  </si>
  <si>
    <t>Washington Furtado Cardoso</t>
  </si>
  <si>
    <t>CARLÃO</t>
  </si>
  <si>
    <t>Carlos Augusto da Silva</t>
  </si>
  <si>
    <t>CT Lucas Fortuna</t>
  </si>
  <si>
    <t>MAURO</t>
  </si>
  <si>
    <t>Mauro Misquito</t>
  </si>
  <si>
    <t>São Conrado</t>
  </si>
  <si>
    <t>CAJÁ</t>
  </si>
  <si>
    <t>Joel Cajazeira Filho</t>
  </si>
  <si>
    <t>Clube Naval</t>
  </si>
  <si>
    <t>MÁRIO</t>
  </si>
  <si>
    <t>Mário Florêncio Silva</t>
  </si>
  <si>
    <t>SEBASTIAN</t>
  </si>
  <si>
    <t>Sebastian Piotr Lysiak</t>
  </si>
  <si>
    <t>EDUARDO</t>
  </si>
  <si>
    <t>Eduardo Lopes Franco</t>
  </si>
  <si>
    <t>FLÁVIO</t>
  </si>
  <si>
    <t>Flávio Menezes de Santana</t>
  </si>
  <si>
    <t>MANINHO</t>
  </si>
  <si>
    <t>Francisco Flávio Gomes da Costa</t>
  </si>
  <si>
    <t>MARCOLA</t>
  </si>
  <si>
    <t>Marcelino Viseu Calvo</t>
  </si>
  <si>
    <t>MEGATRON</t>
  </si>
  <si>
    <t>Leonardo Ferreira Santos</t>
  </si>
  <si>
    <t>RICARDINHO</t>
  </si>
  <si>
    <t>Ricardo de Andrade Nascimento</t>
  </si>
  <si>
    <t>RODRIGO</t>
  </si>
  <si>
    <t>Rodrigo Berigo de Paiva</t>
  </si>
  <si>
    <t>SANDRO MARINS</t>
  </si>
  <si>
    <t>Alessandro Marins de Oliveira</t>
  </si>
  <si>
    <t>VALDEIR</t>
  </si>
  <si>
    <t>Valdeir Pereira Silva</t>
  </si>
  <si>
    <t>MASTER 45+ MASCULINO</t>
  </si>
  <si>
    <t>domingo</t>
  </si>
  <si>
    <t>07/12/2025</t>
  </si>
  <si>
    <t>9h, em DUAS quadras.</t>
  </si>
  <si>
    <t>7 de dezembro de 2025 - domingo</t>
  </si>
  <si>
    <t>1. Eurípedes✅/Humberto✅</t>
  </si>
  <si>
    <t>2. Júnior✅/Divino✅</t>
  </si>
  <si>
    <t>3. Ivan✅/Sandro Marins✅</t>
  </si>
  <si>
    <t>4. Condor✅/Grande✅</t>
  </si>
  <si>
    <t>5. Cláudio✅/Renatinho✅</t>
  </si>
  <si>
    <t>6. Paulo Ceará✅/Eduardo Titânio✅</t>
  </si>
  <si>
    <t>7. Marco Ramos✅/Jeff Misera✅</t>
  </si>
  <si>
    <t>8. Lobera✅/Sandro Gradici✅</t>
  </si>
  <si>
    <t>9. Enoch✅/Juvenal✅</t>
  </si>
  <si>
    <t>10. Beto✅/Presidente✅</t>
  </si>
  <si>
    <t>11. Fabiano✅/Leandrão✅</t>
  </si>
  <si>
    <t>12. Mário✅/Charlles✅</t>
  </si>
  <si>
    <t>EURÍPEDES/HUMBERTO</t>
  </si>
  <si>
    <t>IVAN/SANDRO MARINS</t>
  </si>
  <si>
    <t>CONDOR/GRANDE</t>
  </si>
  <si>
    <t>LOBERA/SANDRO GRADICI</t>
  </si>
  <si>
    <t>BETO/PRESIDENTE</t>
  </si>
  <si>
    <t>FABIANO/LEANDRÃO</t>
  </si>
  <si>
    <t>CLÁUDIO/RENATO</t>
  </si>
  <si>
    <t>PAULO CEARÁ/EDUARDO</t>
  </si>
  <si>
    <t>MARCO RAMOS/JEFF MISERA</t>
  </si>
  <si>
    <t>DIVINO/JÚNIOR SAGRADO</t>
  </si>
  <si>
    <t>JUVENAL/ENOCH</t>
  </si>
  <si>
    <t>CHARLLES/MÁRIO</t>
  </si>
  <si>
    <t>560 + 500 = 1060</t>
  </si>
  <si>
    <t>520 + 520 = 1040</t>
  </si>
  <si>
    <t>500 + 340 = 840</t>
  </si>
  <si>
    <t>500 + 280 = 780</t>
  </si>
  <si>
    <t>500 + 100 = 600</t>
  </si>
  <si>
    <t>340 + 220 = 560</t>
  </si>
  <si>
    <t>520 + 0 = 520</t>
  </si>
  <si>
    <t>400 + 120 = 520</t>
  </si>
  <si>
    <t>220 + 220 = 440</t>
  </si>
  <si>
    <t>360 + 0 = 360</t>
  </si>
  <si>
    <t>200 + 100 = 300</t>
  </si>
  <si>
    <t>220 + 0 = 220</t>
  </si>
  <si>
    <t>W</t>
  </si>
  <si>
    <t>1</t>
  </si>
  <si>
    <t>3</t>
  </si>
  <si>
    <t>2</t>
  </si>
  <si>
    <t>JÚNIOR SAGRADO</t>
  </si>
  <si>
    <t>José Maria Silva de Sousa Júnior</t>
  </si>
  <si>
    <t>ENOCH</t>
  </si>
  <si>
    <t>HUMBERTO</t>
  </si>
  <si>
    <t>Enoch Paulino Júnior de Souza</t>
  </si>
  <si>
    <t>Brasília Vôlei</t>
  </si>
  <si>
    <t>Humberto Alves Bento</t>
  </si>
  <si>
    <t>Divino Reis Pinto da Silva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</si>
</sst>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h:mm;@"/>
  </numFmts>
  <fonts count="49" x14ac:knownFonts="1">
    <font>
      <sz val="11"/>
      <color theme="1"/>
      <name val="Calibri"/>
      <family val="2"/>
      <scheme val="minor"/>
    </font>
    <font>
      <sz val="11"/>
      <color theme="1"/>
      <name val="Calibri"/>
      <family val="2"/>
      <scheme val="minor"/>
    </font>
    <font>
      <b/>
      <sz val="10"/>
      <color theme="1"/>
      <name val="Calibri"/>
      <family val="2"/>
      <scheme val="minor"/>
    </font>
    <font>
      <b/>
      <sz val="11"/>
      <color theme="1"/>
      <name val="Calibri"/>
      <family val="2"/>
      <scheme val="minor"/>
    </font>
    <font>
      <b/>
      <sz val="12"/>
      <color theme="0"/>
      <name val="Arial"/>
      <family val="2"/>
    </font>
    <font>
      <b/>
      <sz val="22"/>
      <name val="Aptos"/>
      <family val="2"/>
    </font>
    <font>
      <b/>
      <sz val="18"/>
      <color theme="1"/>
      <name val="Aptos"/>
      <family val="2"/>
    </font>
    <font>
      <b/>
      <sz val="14"/>
      <color theme="1"/>
      <name val="Aptos"/>
      <family val="2"/>
    </font>
    <font>
      <sz val="13"/>
      <color theme="1"/>
      <name val="Aptos"/>
      <family val="2"/>
    </font>
    <font>
      <b/>
      <sz val="13"/>
      <color theme="1"/>
      <name val="Aptos"/>
      <family val="2"/>
    </font>
    <font>
      <b/>
      <sz val="13"/>
      <color rgb="FFFF0000"/>
      <name val="Aptos"/>
      <family val="2"/>
    </font>
    <font>
      <b/>
      <sz val="13"/>
      <color rgb="FF0070C0"/>
      <name val="Aptos"/>
      <family val="2"/>
    </font>
    <font>
      <b/>
      <i/>
      <sz val="13"/>
      <color theme="1"/>
      <name val="Aptos"/>
      <family val="2"/>
    </font>
    <font>
      <sz val="11"/>
      <color theme="1"/>
      <name val="Aptos"/>
      <family val="2"/>
    </font>
    <font>
      <b/>
      <sz val="22"/>
      <color theme="0"/>
      <name val="Aptos"/>
      <family val="2"/>
    </font>
    <font>
      <b/>
      <sz val="12"/>
      <color rgb="FF000000"/>
      <name val="Aptos"/>
      <family val="2"/>
    </font>
    <font>
      <b/>
      <sz val="10"/>
      <color theme="1"/>
      <name val="Aptos"/>
      <family val="2"/>
    </font>
    <font>
      <b/>
      <sz val="12"/>
      <color theme="1"/>
      <name val="Aptos"/>
      <family val="2"/>
    </font>
    <font>
      <sz val="12"/>
      <color rgb="FF000000"/>
      <name val="Aptos"/>
      <family val="2"/>
    </font>
    <font>
      <sz val="12"/>
      <color theme="1"/>
      <name val="Aptos"/>
      <family val="2"/>
    </font>
    <font>
      <b/>
      <sz val="14"/>
      <color rgb="FF000000"/>
      <name val="Aptos"/>
      <family val="2"/>
    </font>
    <font>
      <b/>
      <sz val="24"/>
      <color theme="1"/>
      <name val="Aptos"/>
      <family val="2"/>
    </font>
    <font>
      <b/>
      <sz val="14"/>
      <color theme="0"/>
      <name val="Aptos"/>
      <family val="2"/>
    </font>
    <font>
      <b/>
      <sz val="26"/>
      <name val="Aptos"/>
      <family val="2"/>
    </font>
    <font>
      <b/>
      <u/>
      <sz val="13"/>
      <color rgb="FFFF0000"/>
      <name val="Aptos"/>
      <family val="2"/>
    </font>
    <font>
      <b/>
      <u/>
      <sz val="13"/>
      <color rgb="FF0070C0"/>
      <name val="Aptos"/>
      <family val="2"/>
    </font>
    <font>
      <sz val="13"/>
      <name val="Aptos"/>
      <family val="2"/>
    </font>
    <font>
      <sz val="8"/>
      <color rgb="FF000000"/>
      <name val="Arial"/>
      <family val="2"/>
    </font>
    <font>
      <b/>
      <sz val="24"/>
      <name val="Aptos"/>
      <family val="2"/>
    </font>
    <font>
      <b/>
      <sz val="16"/>
      <color theme="1"/>
      <name val="Aptos"/>
      <family val="2"/>
    </font>
    <font>
      <b/>
      <sz val="12"/>
      <color theme="1"/>
      <name val="Calibri"/>
      <family val="2"/>
      <scheme val="minor"/>
    </font>
    <font>
      <b/>
      <sz val="11"/>
      <name val="Calibri"/>
      <family val="2"/>
      <scheme val="minor"/>
    </font>
    <font>
      <b/>
      <sz val="12"/>
      <color rgb="FFFF0000"/>
      <name val="Calibri"/>
      <family val="2"/>
      <scheme val="minor"/>
    </font>
    <font>
      <b/>
      <sz val="22"/>
      <color theme="0"/>
      <name val="Arial"/>
      <family val="2"/>
    </font>
    <font>
      <b/>
      <sz val="24"/>
      <name val="Calibri"/>
      <family val="2"/>
      <scheme val="minor"/>
    </font>
    <font>
      <b/>
      <sz val="18"/>
      <color theme="1"/>
      <name val="Calibri"/>
      <family val="2"/>
      <scheme val="minor"/>
    </font>
    <font>
      <b/>
      <sz val="12"/>
      <color rgb="FF000000"/>
      <name val="Arial"/>
      <family val="2"/>
    </font>
    <font>
      <b/>
      <sz val="14"/>
      <color theme="1"/>
      <name val="Calibri"/>
      <family val="2"/>
      <scheme val="minor"/>
    </font>
    <font>
      <b/>
      <sz val="11"/>
      <color rgb="FFFFFF00"/>
      <name val="Calibri"/>
      <family val="2"/>
      <scheme val="minor"/>
    </font>
    <font>
      <sz val="24"/>
      <color theme="1"/>
      <name val="Calibri"/>
      <family val="2"/>
      <scheme val="minor"/>
    </font>
    <font>
      <sz val="8"/>
      <name val="Calibri"/>
      <family val="2"/>
      <scheme val="minor"/>
    </font>
    <font>
      <b/>
      <sz val="14"/>
      <name val="Aptos"/>
      <family val="2"/>
    </font>
    <font>
      <b/>
      <i/>
      <sz val="12"/>
      <color theme="1"/>
      <name val="Aptos"/>
      <family val="2"/>
    </font>
    <font>
      <b/>
      <sz val="24"/>
      <color theme="0"/>
      <name val="Aptos"/>
      <family val="2"/>
    </font>
    <font>
      <b/>
      <sz val="20"/>
      <color theme="0"/>
      <name val="Aptos"/>
      <family val="2"/>
    </font>
    <font>
      <b/>
      <sz val="18"/>
      <color theme="0"/>
      <name val="Aptos"/>
      <family val="2"/>
    </font>
    <font>
      <b/>
      <sz val="20"/>
      <color theme="0"/>
      <name val="Calibri"/>
      <family val="2"/>
      <scheme val="minor"/>
    </font>
    <font>
      <b/>
      <sz val="22"/>
      <name val="Calibri"/>
      <family val="2"/>
      <scheme val="minor"/>
    </font>
    <font>
      <b/>
      <sz val="14"/>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1"/>
        <bgColor indexed="64"/>
      </patternFill>
    </fill>
    <fill>
      <patternFill patternType="solid">
        <fgColor rgb="FF002060"/>
        <bgColor indexed="64"/>
      </patternFill>
    </fill>
    <fill>
      <patternFill patternType="solid">
        <fgColor theme="7" tint="-0.249977111117893"/>
        <bgColor indexed="64"/>
      </patternFill>
    </fill>
    <fill>
      <patternFill patternType="solid">
        <fgColor theme="6" tint="0.79998168889431442"/>
        <bgColor indexed="64"/>
      </patternFill>
    </fill>
    <fill>
      <patternFill patternType="solid">
        <fgColor rgb="FF0070C0"/>
        <bgColor indexed="64"/>
      </patternFill>
    </fill>
    <fill>
      <patternFill patternType="solid">
        <fgColor theme="4"/>
        <bgColor indexed="64"/>
      </patternFill>
    </fill>
  </fills>
  <borders count="6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thick">
        <color rgb="FF0070C0"/>
      </left>
      <right/>
      <top style="thick">
        <color rgb="FF0070C0"/>
      </top>
      <bottom style="thick">
        <color rgb="FF0070C0"/>
      </bottom>
      <diagonal/>
    </border>
    <border>
      <left/>
      <right/>
      <top style="thick">
        <color rgb="FF0070C0"/>
      </top>
      <bottom style="thick">
        <color rgb="FF0070C0"/>
      </bottom>
      <diagonal/>
    </border>
    <border>
      <left/>
      <right style="thick">
        <color rgb="FF0070C0"/>
      </right>
      <top style="thick">
        <color rgb="FF0070C0"/>
      </top>
      <bottom style="thick">
        <color rgb="FF0070C0"/>
      </bottom>
      <diagonal/>
    </border>
    <border>
      <left style="thick">
        <color rgb="FF0070C0"/>
      </left>
      <right style="thick">
        <color rgb="FF0070C0"/>
      </right>
      <top style="thick">
        <color rgb="FF0070C0"/>
      </top>
      <bottom/>
      <diagonal/>
    </border>
    <border>
      <left style="thick">
        <color rgb="FF0070C0"/>
      </left>
      <right style="thick">
        <color rgb="FF0070C0"/>
      </right>
      <top style="thick">
        <color rgb="FF0070C0"/>
      </top>
      <bottom style="thick">
        <color rgb="FF0070C0"/>
      </bottom>
      <diagonal/>
    </border>
    <border>
      <left style="thick">
        <color rgb="FF0070C0"/>
      </left>
      <right style="thick">
        <color rgb="FF0070C0"/>
      </right>
      <top/>
      <bottom/>
      <diagonal/>
    </border>
    <border>
      <left style="thick">
        <color rgb="FF0070C0"/>
      </left>
      <right style="thick">
        <color rgb="FF0070C0"/>
      </right>
      <top/>
      <bottom style="thick">
        <color rgb="FF0070C0"/>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392">
    <xf numFmtId="0" fontId="0" fillId="0" borderId="0" xfId="0"/>
    <xf numFmtId="0" fontId="0" fillId="0" borderId="0" xfId="0" applyAlignment="1">
      <alignment horizontal="center"/>
    </xf>
    <xf numFmtId="0" fontId="0" fillId="3" borderId="0" xfId="0" applyFill="1"/>
    <xf numFmtId="0" fontId="0" fillId="3" borderId="13" xfId="0" applyFill="1" applyBorder="1" applyAlignment="1">
      <alignment horizontal="center" vertical="center"/>
    </xf>
    <xf numFmtId="0" fontId="8" fillId="0" borderId="14" xfId="0" applyFont="1" applyBorder="1" applyAlignment="1">
      <alignment horizontal="center" vertical="center"/>
    </xf>
    <xf numFmtId="0" fontId="9" fillId="0" borderId="15" xfId="0" applyFont="1" applyBorder="1" applyAlignment="1">
      <alignment vertical="center"/>
    </xf>
    <xf numFmtId="0" fontId="8" fillId="0" borderId="17" xfId="0" applyFont="1" applyBorder="1" applyAlignment="1">
      <alignment horizontal="center" vertical="center"/>
    </xf>
    <xf numFmtId="0" fontId="9" fillId="0" borderId="13" xfId="0" applyFont="1" applyBorder="1" applyAlignment="1">
      <alignment vertical="center" wrapText="1"/>
    </xf>
    <xf numFmtId="0" fontId="8" fillId="3" borderId="17" xfId="0" applyFont="1" applyFill="1" applyBorder="1" applyAlignment="1">
      <alignment horizontal="center" vertical="center"/>
    </xf>
    <xf numFmtId="0" fontId="9" fillId="3" borderId="13" xfId="0" applyFont="1" applyFill="1" applyBorder="1" applyAlignment="1">
      <alignment vertical="center" wrapText="1"/>
    </xf>
    <xf numFmtId="0" fontId="8" fillId="0" borderId="18" xfId="0" applyFont="1" applyBorder="1" applyAlignment="1">
      <alignment horizontal="center" vertical="center"/>
    </xf>
    <xf numFmtId="0" fontId="9" fillId="0" borderId="13" xfId="0" applyFont="1" applyBorder="1" applyAlignment="1">
      <alignment vertical="center"/>
    </xf>
    <xf numFmtId="0" fontId="9" fillId="3" borderId="13" xfId="0" applyFont="1" applyFill="1" applyBorder="1" applyAlignment="1">
      <alignment horizontal="left" vertical="center" wrapText="1"/>
    </xf>
    <xf numFmtId="0" fontId="3" fillId="3" borderId="13" xfId="0" applyFont="1" applyFill="1" applyBorder="1" applyAlignment="1">
      <alignment horizontal="center" vertical="center"/>
    </xf>
    <xf numFmtId="0" fontId="9" fillId="0" borderId="13" xfId="0" applyFont="1" applyBorder="1" applyAlignment="1">
      <alignment horizontal="left" vertical="center" wrapText="1"/>
    </xf>
    <xf numFmtId="0" fontId="9" fillId="3" borderId="13" xfId="0" applyFont="1" applyFill="1" applyBorder="1" applyAlignment="1">
      <alignment vertical="center"/>
    </xf>
    <xf numFmtId="0" fontId="8" fillId="3" borderId="18" xfId="0" applyFont="1" applyFill="1" applyBorder="1" applyAlignment="1">
      <alignment horizontal="center" vertical="center"/>
    </xf>
    <xf numFmtId="49" fontId="18" fillId="0" borderId="2" xfId="0" applyNumberFormat="1" applyFont="1" applyBorder="1" applyAlignment="1">
      <alignment horizontal="center" vertical="center"/>
    </xf>
    <xf numFmtId="1" fontId="18" fillId="0" borderId="14" xfId="0" applyNumberFormat="1" applyFont="1" applyBorder="1" applyAlignment="1">
      <alignment horizontal="center" vertical="center"/>
    </xf>
    <xf numFmtId="49" fontId="18" fillId="3" borderId="15" xfId="0" applyNumberFormat="1" applyFont="1" applyFill="1" applyBorder="1" applyAlignment="1">
      <alignment horizontal="center" vertical="center"/>
    </xf>
    <xf numFmtId="164" fontId="18" fillId="0" borderId="15" xfId="0" applyNumberFormat="1" applyFont="1" applyBorder="1" applyAlignment="1">
      <alignment horizontal="center" vertical="center"/>
    </xf>
    <xf numFmtId="0" fontId="19" fillId="3" borderId="15" xfId="0" applyFont="1" applyFill="1" applyBorder="1" applyAlignment="1">
      <alignment horizontal="center" vertical="center"/>
    </xf>
    <xf numFmtId="49" fontId="18" fillId="3" borderId="13" xfId="0" applyNumberFormat="1" applyFont="1" applyFill="1" applyBorder="1" applyAlignment="1">
      <alignment horizontal="center" vertical="center"/>
    </xf>
    <xf numFmtId="0" fontId="19" fillId="3" borderId="13" xfId="0" applyFont="1" applyFill="1" applyBorder="1" applyAlignment="1">
      <alignment horizontal="center" vertical="center"/>
    </xf>
    <xf numFmtId="1" fontId="18" fillId="0" borderId="19" xfId="0" applyNumberFormat="1" applyFont="1" applyBorder="1" applyAlignment="1">
      <alignment horizontal="center" vertical="center"/>
    </xf>
    <xf numFmtId="49" fontId="18" fillId="3" borderId="20" xfId="0" applyNumberFormat="1" applyFont="1" applyFill="1" applyBorder="1" applyAlignment="1">
      <alignment horizontal="center" vertical="center"/>
    </xf>
    <xf numFmtId="0" fontId="19" fillId="3" borderId="20" xfId="0" applyFont="1" applyFill="1" applyBorder="1" applyAlignment="1">
      <alignment horizontal="center" vertical="center"/>
    </xf>
    <xf numFmtId="164" fontId="18" fillId="0" borderId="13" xfId="0" applyNumberFormat="1" applyFont="1" applyBorder="1" applyAlignment="1">
      <alignment horizontal="center" vertical="center"/>
    </xf>
    <xf numFmtId="164" fontId="18" fillId="0" borderId="20" xfId="0" applyNumberFormat="1" applyFont="1" applyBorder="1" applyAlignment="1">
      <alignment horizontal="center" vertical="center"/>
    </xf>
    <xf numFmtId="49" fontId="18" fillId="0" borderId="15" xfId="0" applyNumberFormat="1" applyFont="1" applyBorder="1" applyAlignment="1">
      <alignment horizontal="center" vertical="center"/>
    </xf>
    <xf numFmtId="1" fontId="18" fillId="0" borderId="17" xfId="0" applyNumberFormat="1" applyFont="1" applyBorder="1" applyAlignment="1">
      <alignment horizontal="center" vertical="center"/>
    </xf>
    <xf numFmtId="49" fontId="18" fillId="0" borderId="13" xfId="0" applyNumberFormat="1" applyFont="1" applyBorder="1" applyAlignment="1">
      <alignment horizontal="center" vertical="center"/>
    </xf>
    <xf numFmtId="49" fontId="18" fillId="0" borderId="20" xfId="0" applyNumberFormat="1" applyFont="1" applyBorder="1" applyAlignment="1">
      <alignment horizontal="center" vertical="center"/>
    </xf>
    <xf numFmtId="1" fontId="18" fillId="0" borderId="1" xfId="0" applyNumberFormat="1" applyFont="1" applyBorder="1" applyAlignment="1">
      <alignment horizontal="center" vertical="center"/>
    </xf>
    <xf numFmtId="164" fontId="18" fillId="0" borderId="2" xfId="0" applyNumberFormat="1" applyFont="1" applyBorder="1" applyAlignment="1">
      <alignment horizontal="center" vertical="center"/>
    </xf>
    <xf numFmtId="0" fontId="19" fillId="3" borderId="2" xfId="0" applyFont="1" applyFill="1" applyBorder="1" applyAlignment="1">
      <alignment horizontal="center" vertical="center"/>
    </xf>
    <xf numFmtId="0" fontId="19" fillId="3" borderId="17" xfId="0" applyFont="1" applyFill="1" applyBorder="1" applyAlignment="1">
      <alignment horizontal="center" vertical="center"/>
    </xf>
    <xf numFmtId="0" fontId="19" fillId="3" borderId="19" xfId="0" applyFont="1" applyFill="1" applyBorder="1" applyAlignment="1">
      <alignment horizontal="center" vertical="center"/>
    </xf>
    <xf numFmtId="0" fontId="7" fillId="4" borderId="29" xfId="0" applyFont="1" applyFill="1" applyBorder="1" applyAlignment="1">
      <alignment horizontal="center" vertical="center"/>
    </xf>
    <xf numFmtId="0" fontId="7" fillId="4" borderId="32" xfId="0" applyFont="1" applyFill="1" applyBorder="1" applyAlignment="1">
      <alignment horizontal="center" vertical="center"/>
    </xf>
    <xf numFmtId="0" fontId="7" fillId="4" borderId="31" xfId="0" applyFont="1" applyFill="1" applyBorder="1" applyAlignment="1">
      <alignment horizontal="center" vertical="center"/>
    </xf>
    <xf numFmtId="0" fontId="17" fillId="4" borderId="14" xfId="0" applyFont="1" applyFill="1" applyBorder="1" applyAlignment="1">
      <alignment horizontal="center" vertical="center"/>
    </xf>
    <xf numFmtId="0" fontId="17" fillId="4" borderId="15" xfId="0" applyFont="1" applyFill="1" applyBorder="1" applyAlignment="1">
      <alignment horizontal="center" vertical="center"/>
    </xf>
    <xf numFmtId="0" fontId="17" fillId="4" borderId="16" xfId="0" applyFont="1" applyFill="1" applyBorder="1" applyAlignment="1">
      <alignment horizontal="center" vertical="center"/>
    </xf>
    <xf numFmtId="49" fontId="17" fillId="3" borderId="13" xfId="0" applyNumberFormat="1" applyFont="1" applyFill="1" applyBorder="1" applyAlignment="1">
      <alignment horizontal="left" vertical="center"/>
    </xf>
    <xf numFmtId="49" fontId="17" fillId="10" borderId="18" xfId="0" applyNumberFormat="1" applyFont="1" applyFill="1" applyBorder="1" applyAlignment="1">
      <alignment horizontal="center" vertical="center"/>
    </xf>
    <xf numFmtId="49" fontId="17" fillId="3" borderId="18" xfId="0" applyNumberFormat="1" applyFont="1" applyFill="1" applyBorder="1" applyAlignment="1">
      <alignment horizontal="left" vertical="center"/>
    </xf>
    <xf numFmtId="49" fontId="17" fillId="2" borderId="18" xfId="0" applyNumberFormat="1" applyFont="1" applyFill="1" applyBorder="1" applyAlignment="1">
      <alignment horizontal="center" vertical="center"/>
    </xf>
    <xf numFmtId="49" fontId="17" fillId="11" borderId="18" xfId="0" applyNumberFormat="1" applyFont="1" applyFill="1" applyBorder="1" applyAlignment="1">
      <alignment horizontal="center" vertical="center"/>
    </xf>
    <xf numFmtId="1" fontId="17" fillId="3" borderId="13" xfId="0" applyNumberFormat="1" applyFont="1" applyFill="1" applyBorder="1" applyAlignment="1">
      <alignment horizontal="left" vertical="center"/>
    </xf>
    <xf numFmtId="1" fontId="17" fillId="3" borderId="18" xfId="0" applyNumberFormat="1" applyFont="1" applyFill="1" applyBorder="1" applyAlignment="1">
      <alignment horizontal="left" vertical="center"/>
    </xf>
    <xf numFmtId="1" fontId="17" fillId="3" borderId="20" xfId="0" applyNumberFormat="1" applyFont="1" applyFill="1" applyBorder="1" applyAlignment="1">
      <alignment horizontal="left" vertical="center"/>
    </xf>
    <xf numFmtId="49" fontId="17" fillId="10" borderId="21" xfId="0" applyNumberFormat="1" applyFont="1" applyFill="1" applyBorder="1" applyAlignment="1">
      <alignment horizontal="center" vertical="center"/>
    </xf>
    <xf numFmtId="1" fontId="17" fillId="3" borderId="21" xfId="0" applyNumberFormat="1" applyFont="1" applyFill="1" applyBorder="1" applyAlignment="1">
      <alignment horizontal="left" vertical="center"/>
    </xf>
    <xf numFmtId="49" fontId="17" fillId="2" borderId="21" xfId="0" applyNumberFormat="1" applyFont="1" applyFill="1" applyBorder="1" applyAlignment="1">
      <alignment horizontal="center" vertical="center"/>
    </xf>
    <xf numFmtId="49" fontId="17" fillId="11" borderId="21" xfId="0" applyNumberFormat="1" applyFont="1" applyFill="1" applyBorder="1" applyAlignment="1">
      <alignment horizontal="center" vertical="center"/>
    </xf>
    <xf numFmtId="0" fontId="17" fillId="4" borderId="1" xfId="0" applyFont="1" applyFill="1" applyBorder="1" applyAlignment="1">
      <alignment horizontal="center" vertical="center"/>
    </xf>
    <xf numFmtId="0" fontId="17" fillId="4" borderId="37" xfId="0" applyFont="1" applyFill="1" applyBorder="1" applyAlignment="1">
      <alignment horizontal="center" vertical="center"/>
    </xf>
    <xf numFmtId="0" fontId="30" fillId="4" borderId="2" xfId="0" applyFont="1" applyFill="1" applyBorder="1" applyAlignment="1">
      <alignment horizontal="center" vertical="center"/>
    </xf>
    <xf numFmtId="0" fontId="30" fillId="2" borderId="3" xfId="0" applyFont="1" applyFill="1" applyBorder="1" applyAlignment="1">
      <alignment horizontal="center" vertical="center"/>
    </xf>
    <xf numFmtId="0" fontId="19" fillId="3" borderId="14" xfId="0" applyFont="1" applyFill="1" applyBorder="1" applyAlignment="1">
      <alignment horizontal="center" vertical="center"/>
    </xf>
    <xf numFmtId="0" fontId="31" fillId="3" borderId="13" xfId="0" applyFont="1" applyFill="1" applyBorder="1" applyAlignment="1">
      <alignment horizontal="left" vertical="center"/>
    </xf>
    <xf numFmtId="49" fontId="17" fillId="2" borderId="42" xfId="0" applyNumberFormat="1" applyFont="1" applyFill="1" applyBorder="1" applyAlignment="1">
      <alignment horizontal="center" vertical="center"/>
    </xf>
    <xf numFmtId="49" fontId="17" fillId="11" borderId="42" xfId="0" applyNumberFormat="1" applyFont="1" applyFill="1" applyBorder="1" applyAlignment="1">
      <alignment horizontal="center" vertical="center"/>
    </xf>
    <xf numFmtId="0" fontId="19" fillId="3" borderId="18" xfId="0" applyFont="1" applyFill="1" applyBorder="1" applyAlignment="1">
      <alignment horizontal="center" vertical="center"/>
    </xf>
    <xf numFmtId="49" fontId="17" fillId="10" borderId="42" xfId="0" applyNumberFormat="1" applyFont="1" applyFill="1" applyBorder="1" applyAlignment="1">
      <alignment horizontal="center" vertical="center"/>
    </xf>
    <xf numFmtId="0" fontId="31" fillId="3" borderId="43" xfId="0" applyFont="1" applyFill="1" applyBorder="1" applyAlignment="1">
      <alignment horizontal="left" vertical="center"/>
    </xf>
    <xf numFmtId="0" fontId="3" fillId="3" borderId="43" xfId="0" applyFont="1" applyFill="1" applyBorder="1" applyAlignment="1">
      <alignment horizontal="center" vertical="center"/>
    </xf>
    <xf numFmtId="0" fontId="19" fillId="0" borderId="17" xfId="0" applyFont="1" applyBorder="1" applyAlignment="1">
      <alignment horizontal="center" vertical="center"/>
    </xf>
    <xf numFmtId="0" fontId="19" fillId="3" borderId="21" xfId="0" applyFont="1" applyFill="1" applyBorder="1" applyAlignment="1">
      <alignment horizontal="center" vertical="center"/>
    </xf>
    <xf numFmtId="49" fontId="17" fillId="10" borderId="44" xfId="0" applyNumberFormat="1" applyFont="1" applyFill="1" applyBorder="1" applyAlignment="1">
      <alignment horizontal="center" vertical="center"/>
    </xf>
    <xf numFmtId="1" fontId="18" fillId="0" borderId="15" xfId="0" applyNumberFormat="1" applyFont="1" applyBorder="1" applyAlignment="1">
      <alignment horizontal="center" vertical="center"/>
    </xf>
    <xf numFmtId="49" fontId="17" fillId="3" borderId="15" xfId="0" applyNumberFormat="1" applyFont="1" applyFill="1" applyBorder="1" applyAlignment="1">
      <alignment horizontal="center" vertical="center"/>
    </xf>
    <xf numFmtId="1" fontId="18" fillId="0" borderId="16" xfId="0" applyNumberFormat="1" applyFont="1" applyBorder="1" applyAlignment="1">
      <alignment horizontal="center" vertical="center"/>
    </xf>
    <xf numFmtId="1" fontId="18" fillId="3" borderId="17" xfId="0" applyNumberFormat="1" applyFont="1" applyFill="1" applyBorder="1" applyAlignment="1">
      <alignment horizontal="center" vertical="center"/>
    </xf>
    <xf numFmtId="164" fontId="18" fillId="3" borderId="13" xfId="0" applyNumberFormat="1" applyFont="1" applyFill="1" applyBorder="1" applyAlignment="1">
      <alignment horizontal="center" vertical="center"/>
    </xf>
    <xf numFmtId="49" fontId="17" fillId="3" borderId="13" xfId="0" applyNumberFormat="1" applyFont="1" applyFill="1" applyBorder="1" applyAlignment="1">
      <alignment horizontal="center" vertical="center"/>
    </xf>
    <xf numFmtId="164" fontId="18" fillId="3" borderId="20" xfId="0" applyNumberFormat="1" applyFont="1" applyFill="1" applyBorder="1" applyAlignment="1">
      <alignment horizontal="center" vertical="center"/>
    </xf>
    <xf numFmtId="1" fontId="18" fillId="0" borderId="20" xfId="0" applyNumberFormat="1" applyFont="1" applyBorder="1" applyAlignment="1">
      <alignment horizontal="center" vertical="center"/>
    </xf>
    <xf numFmtId="49" fontId="17" fillId="3" borderId="20" xfId="0" applyNumberFormat="1" applyFont="1" applyFill="1" applyBorder="1" applyAlignment="1">
      <alignment horizontal="center" vertical="center"/>
    </xf>
    <xf numFmtId="1" fontId="18" fillId="0" borderId="21" xfId="0" applyNumberFormat="1" applyFont="1" applyBorder="1" applyAlignment="1">
      <alignment horizontal="center" vertical="center"/>
    </xf>
    <xf numFmtId="164" fontId="18" fillId="3" borderId="15" xfId="0" applyNumberFormat="1" applyFont="1" applyFill="1" applyBorder="1" applyAlignment="1">
      <alignment horizontal="center" vertical="center"/>
    </xf>
    <xf numFmtId="1" fontId="18" fillId="3" borderId="14" xfId="0" applyNumberFormat="1" applyFont="1" applyFill="1" applyBorder="1" applyAlignment="1">
      <alignment horizontal="center" vertical="center"/>
    </xf>
    <xf numFmtId="0" fontId="19" fillId="3" borderId="16" xfId="0" applyFont="1" applyFill="1" applyBorder="1" applyAlignment="1">
      <alignment horizontal="center" vertical="center"/>
    </xf>
    <xf numFmtId="1" fontId="18" fillId="3" borderId="19" xfId="0" applyNumberFormat="1" applyFont="1" applyFill="1" applyBorder="1" applyAlignment="1">
      <alignment horizontal="center" vertical="center"/>
    </xf>
    <xf numFmtId="0" fontId="16" fillId="7" borderId="36" xfId="0" applyFont="1" applyFill="1" applyBorder="1" applyAlignment="1">
      <alignment horizontal="center" vertical="center"/>
    </xf>
    <xf numFmtId="0" fontId="16" fillId="7" borderId="16" xfId="0" applyFont="1" applyFill="1" applyBorder="1" applyAlignment="1">
      <alignment horizontal="center" vertical="center"/>
    </xf>
    <xf numFmtId="0" fontId="16" fillId="7" borderId="42" xfId="0" applyFont="1" applyFill="1" applyBorder="1" applyAlignment="1">
      <alignment horizontal="center" vertical="center"/>
    </xf>
    <xf numFmtId="0" fontId="16" fillId="7" borderId="18" xfId="0" applyFont="1" applyFill="1" applyBorder="1" applyAlignment="1">
      <alignment horizontal="center" vertical="center"/>
    </xf>
    <xf numFmtId="0" fontId="16" fillId="7" borderId="44" xfId="0" applyFont="1" applyFill="1" applyBorder="1" applyAlignment="1">
      <alignment horizontal="center" vertical="center"/>
    </xf>
    <xf numFmtId="0" fontId="16" fillId="7" borderId="21" xfId="0" applyFont="1" applyFill="1" applyBorder="1" applyAlignment="1">
      <alignment horizontal="center" vertical="center"/>
    </xf>
    <xf numFmtId="164" fontId="18" fillId="0" borderId="34" xfId="0" applyNumberFormat="1" applyFont="1" applyBorder="1" applyAlignment="1">
      <alignment horizontal="center" vertical="center"/>
    </xf>
    <xf numFmtId="0" fontId="16" fillId="7" borderId="37" xfId="0" applyFont="1" applyFill="1" applyBorder="1" applyAlignment="1">
      <alignment horizontal="center" vertical="center"/>
    </xf>
    <xf numFmtId="49" fontId="36" fillId="3" borderId="0" xfId="0" applyNumberFormat="1" applyFont="1" applyFill="1" applyAlignment="1">
      <alignment vertical="center"/>
    </xf>
    <xf numFmtId="0" fontId="37" fillId="3" borderId="0" xfId="0" applyFont="1" applyFill="1" applyAlignment="1">
      <alignment horizontal="center" vertical="center"/>
    </xf>
    <xf numFmtId="49" fontId="3" fillId="3" borderId="37" xfId="0" applyNumberFormat="1" applyFont="1" applyFill="1" applyBorder="1" applyAlignment="1">
      <alignment horizontal="left" vertical="center"/>
    </xf>
    <xf numFmtId="0" fontId="0" fillId="3" borderId="26" xfId="0" applyFill="1" applyBorder="1" applyAlignment="1">
      <alignment horizontal="center" vertical="center"/>
    </xf>
    <xf numFmtId="0" fontId="0" fillId="3" borderId="16" xfId="0" applyFill="1" applyBorder="1" applyAlignment="1">
      <alignment horizontal="center" vertical="center"/>
    </xf>
    <xf numFmtId="0" fontId="0" fillId="0" borderId="26" xfId="0" applyBorder="1" applyAlignment="1">
      <alignment horizontal="center" vertical="center"/>
    </xf>
    <xf numFmtId="0" fontId="0" fillId="0" borderId="16" xfId="0" applyBorder="1" applyAlignment="1">
      <alignment horizontal="center" vertical="center"/>
    </xf>
    <xf numFmtId="0" fontId="0" fillId="3" borderId="27" xfId="0" applyFill="1" applyBorder="1" applyAlignment="1">
      <alignment horizontal="center" vertical="center"/>
    </xf>
    <xf numFmtId="0" fontId="0" fillId="3" borderId="18" xfId="0" applyFill="1" applyBorder="1" applyAlignment="1">
      <alignment horizontal="center" vertical="center"/>
    </xf>
    <xf numFmtId="0" fontId="0" fillId="0" borderId="13" xfId="0" applyBorder="1" applyAlignment="1">
      <alignment horizontal="center" vertical="center"/>
    </xf>
    <xf numFmtId="0" fontId="0" fillId="3" borderId="17" xfId="0" applyFill="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5" borderId="21" xfId="0" applyFill="1" applyBorder="1" applyAlignment="1">
      <alignment horizontal="center" vertical="center"/>
    </xf>
    <xf numFmtId="0" fontId="0" fillId="2" borderId="21" xfId="0" applyFill="1" applyBorder="1" applyAlignment="1">
      <alignment horizontal="center" vertical="center"/>
    </xf>
    <xf numFmtId="0" fontId="0" fillId="11" borderId="21" xfId="0" applyFill="1" applyBorder="1" applyAlignment="1">
      <alignment horizontal="center" vertical="center"/>
    </xf>
    <xf numFmtId="0" fontId="3" fillId="4" borderId="29" xfId="0" applyFont="1" applyFill="1" applyBorder="1" applyAlignment="1">
      <alignment horizontal="center" vertical="center"/>
    </xf>
    <xf numFmtId="0" fontId="0" fillId="0" borderId="14" xfId="0" applyBorder="1" applyAlignment="1">
      <alignment horizontal="center" vertical="center"/>
    </xf>
    <xf numFmtId="49" fontId="18" fillId="0" borderId="25" xfId="0" applyNumberFormat="1" applyFont="1" applyBorder="1" applyAlignment="1">
      <alignment horizontal="center" vertical="center"/>
    </xf>
    <xf numFmtId="49" fontId="18" fillId="0" borderId="24" xfId="0" applyNumberFormat="1" applyFont="1" applyBorder="1" applyAlignment="1">
      <alignment horizontal="center" vertical="center"/>
    </xf>
    <xf numFmtId="49" fontId="18" fillId="0" borderId="28" xfId="0" applyNumberFormat="1" applyFont="1" applyBorder="1" applyAlignment="1">
      <alignment horizontal="center" vertical="center"/>
    </xf>
    <xf numFmtId="49" fontId="29" fillId="3" borderId="4" xfId="0" applyNumberFormat="1" applyFont="1" applyFill="1" applyBorder="1" applyAlignment="1">
      <alignment horizontal="center" vertical="center" wrapText="1"/>
    </xf>
    <xf numFmtId="49" fontId="29" fillId="6" borderId="4" xfId="0" applyNumberFormat="1" applyFont="1" applyFill="1" applyBorder="1" applyAlignment="1">
      <alignment horizontal="center" vertical="center" wrapText="1"/>
    </xf>
    <xf numFmtId="0" fontId="8" fillId="0" borderId="48" xfId="0" applyFont="1" applyBorder="1" applyAlignment="1">
      <alignment horizontal="center" vertical="center"/>
    </xf>
    <xf numFmtId="0" fontId="9" fillId="0" borderId="28" xfId="0" applyFont="1" applyBorder="1" applyAlignment="1">
      <alignment horizontal="left" vertical="center"/>
    </xf>
    <xf numFmtId="0" fontId="42" fillId="3" borderId="26" xfId="0" applyFont="1" applyFill="1" applyBorder="1" applyAlignment="1">
      <alignment horizontal="left" vertical="center" indent="1"/>
    </xf>
    <xf numFmtId="0" fontId="42" fillId="3" borderId="30" xfId="0" applyFont="1" applyFill="1" applyBorder="1" applyAlignment="1">
      <alignment horizontal="left" vertical="center" indent="1"/>
    </xf>
    <xf numFmtId="0" fontId="42" fillId="3" borderId="35" xfId="0" applyFont="1" applyFill="1" applyBorder="1" applyAlignment="1">
      <alignment horizontal="left" vertical="center" indent="1"/>
    </xf>
    <xf numFmtId="0" fontId="42" fillId="3" borderId="16" xfId="0" applyFont="1" applyFill="1" applyBorder="1" applyAlignment="1">
      <alignment horizontal="right" vertical="center" indent="1"/>
    </xf>
    <xf numFmtId="0" fontId="42" fillId="3" borderId="18" xfId="0" applyFont="1" applyFill="1" applyBorder="1" applyAlignment="1">
      <alignment horizontal="right" vertical="center" indent="1"/>
    </xf>
    <xf numFmtId="0" fontId="42" fillId="3" borderId="21" xfId="0" applyFont="1" applyFill="1" applyBorder="1" applyAlignment="1">
      <alignment horizontal="right" vertical="center" indent="1"/>
    </xf>
    <xf numFmtId="164" fontId="18" fillId="0" borderId="25" xfId="0" applyNumberFormat="1" applyFont="1" applyBorder="1" applyAlignment="1">
      <alignment horizontal="center" vertical="center"/>
    </xf>
    <xf numFmtId="164" fontId="18" fillId="0" borderId="28" xfId="0" applyNumberFormat="1" applyFont="1" applyBorder="1" applyAlignment="1">
      <alignment horizontal="center" vertical="center"/>
    </xf>
    <xf numFmtId="0" fontId="42" fillId="3" borderId="25" xfId="0" applyFont="1" applyFill="1" applyBorder="1" applyAlignment="1">
      <alignment horizontal="right" vertical="center" indent="1"/>
    </xf>
    <xf numFmtId="0" fontId="42" fillId="3" borderId="28" xfId="0" applyFont="1" applyFill="1" applyBorder="1" applyAlignment="1">
      <alignment horizontal="right" vertical="center" indent="1"/>
    </xf>
    <xf numFmtId="0" fontId="20" fillId="14" borderId="53" xfId="0" applyFont="1" applyFill="1" applyBorder="1" applyAlignment="1">
      <alignment horizontal="center" vertical="center" wrapText="1"/>
    </xf>
    <xf numFmtId="0" fontId="20" fillId="14" borderId="52" xfId="0" applyFont="1" applyFill="1" applyBorder="1" applyAlignment="1">
      <alignment horizontal="center" vertical="center" wrapText="1"/>
    </xf>
    <xf numFmtId="0" fontId="20" fillId="14" borderId="55" xfId="0" applyFont="1" applyFill="1" applyBorder="1" applyAlignment="1">
      <alignment horizontal="center" vertical="center" wrapText="1"/>
    </xf>
    <xf numFmtId="0" fontId="18" fillId="15" borderId="53" xfId="0" applyFont="1" applyFill="1" applyBorder="1" applyAlignment="1">
      <alignment horizontal="center" vertical="center" wrapText="1"/>
    </xf>
    <xf numFmtId="0" fontId="18" fillId="15" borderId="53" xfId="0" applyFont="1" applyFill="1" applyBorder="1" applyAlignment="1">
      <alignment horizontal="left" vertical="center" wrapText="1" indent="1"/>
    </xf>
    <xf numFmtId="0" fontId="15" fillId="15" borderId="53" xfId="0" applyFont="1" applyFill="1" applyBorder="1" applyAlignment="1">
      <alignment horizontal="center" vertical="center" wrapText="1"/>
    </xf>
    <xf numFmtId="0" fontId="18" fillId="3" borderId="53" xfId="0" applyFont="1" applyFill="1" applyBorder="1" applyAlignment="1">
      <alignment horizontal="center" vertical="center" wrapText="1"/>
    </xf>
    <xf numFmtId="0" fontId="18" fillId="3" borderId="53" xfId="0" applyFont="1" applyFill="1" applyBorder="1" applyAlignment="1">
      <alignment horizontal="left" vertical="center" wrapText="1" indent="1"/>
    </xf>
    <xf numFmtId="0" fontId="15" fillId="3" borderId="53" xfId="0" applyFont="1" applyFill="1" applyBorder="1" applyAlignment="1">
      <alignment horizontal="center" vertical="center" wrapText="1"/>
    </xf>
    <xf numFmtId="1" fontId="18" fillId="0" borderId="27" xfId="0" applyNumberFormat="1" applyFont="1" applyBorder="1" applyAlignment="1">
      <alignment horizontal="center" vertical="center"/>
    </xf>
    <xf numFmtId="49" fontId="18" fillId="3" borderId="56" xfId="0" applyNumberFormat="1" applyFont="1" applyFill="1" applyBorder="1" applyAlignment="1">
      <alignment horizontal="center" vertical="center"/>
    </xf>
    <xf numFmtId="164" fontId="18" fillId="3" borderId="56" xfId="0" applyNumberFormat="1" applyFont="1" applyFill="1" applyBorder="1" applyAlignment="1">
      <alignment horizontal="center" vertical="center"/>
    </xf>
    <xf numFmtId="164" fontId="18" fillId="0" borderId="56" xfId="0" applyNumberFormat="1" applyFont="1" applyBorder="1" applyAlignment="1">
      <alignment horizontal="center" vertical="center"/>
    </xf>
    <xf numFmtId="1" fontId="18" fillId="0" borderId="56" xfId="0" applyNumberFormat="1" applyFont="1" applyBorder="1" applyAlignment="1">
      <alignment horizontal="center" vertical="center"/>
    </xf>
    <xf numFmtId="49" fontId="17" fillId="3" borderId="56" xfId="0" applyNumberFormat="1" applyFont="1" applyFill="1" applyBorder="1" applyAlignment="1">
      <alignment horizontal="center" vertical="center"/>
    </xf>
    <xf numFmtId="0" fontId="19" fillId="3" borderId="56" xfId="0" applyFont="1" applyFill="1" applyBorder="1" applyAlignment="1">
      <alignment horizontal="center" vertical="center"/>
    </xf>
    <xf numFmtId="1" fontId="18" fillId="0" borderId="57" xfId="0" applyNumberFormat="1" applyFont="1" applyBorder="1" applyAlignment="1">
      <alignment horizontal="center" vertical="center"/>
    </xf>
    <xf numFmtId="49" fontId="18" fillId="0" borderId="1" xfId="0" applyNumberFormat="1" applyFont="1" applyBorder="1" applyAlignment="1">
      <alignment horizontal="center" vertical="center"/>
    </xf>
    <xf numFmtId="49" fontId="18" fillId="0" borderId="3" xfId="0" applyNumberFormat="1" applyFont="1" applyBorder="1" applyAlignment="1">
      <alignment horizontal="center" vertical="center"/>
    </xf>
    <xf numFmtId="49" fontId="17" fillId="10" borderId="36" xfId="0" applyNumberFormat="1" applyFont="1" applyFill="1" applyBorder="1" applyAlignment="1">
      <alignment horizontal="center" vertical="center"/>
    </xf>
    <xf numFmtId="0" fontId="18" fillId="3" borderId="55" xfId="0" applyFont="1" applyFill="1" applyBorder="1" applyAlignment="1">
      <alignment horizontal="center" vertical="center" wrapText="1"/>
    </xf>
    <xf numFmtId="0" fontId="18" fillId="15" borderId="55" xfId="0" applyFont="1" applyFill="1" applyBorder="1" applyAlignment="1">
      <alignment horizontal="center" vertical="center" wrapText="1"/>
    </xf>
    <xf numFmtId="0" fontId="0" fillId="2" borderId="13" xfId="0" applyFill="1" applyBorder="1" applyAlignment="1">
      <alignment horizontal="center" vertical="center"/>
    </xf>
    <xf numFmtId="0" fontId="42" fillId="3" borderId="59" xfId="0" applyFont="1" applyFill="1" applyBorder="1" applyAlignment="1">
      <alignment horizontal="left" vertical="center" indent="1"/>
    </xf>
    <xf numFmtId="0" fontId="42" fillId="3" borderId="34" xfId="0" applyFont="1" applyFill="1" applyBorder="1" applyAlignment="1">
      <alignment horizontal="right" vertical="center" indent="1"/>
    </xf>
    <xf numFmtId="0" fontId="18" fillId="15" borderId="52" xfId="0" applyFont="1" applyFill="1" applyBorder="1" applyAlignment="1">
      <alignment horizontal="center" vertical="center" wrapText="1"/>
    </xf>
    <xf numFmtId="0" fontId="18" fillId="15" borderId="54" xfId="0" applyFont="1" applyFill="1" applyBorder="1" applyAlignment="1">
      <alignment horizontal="center" vertical="center" wrapText="1"/>
    </xf>
    <xf numFmtId="0" fontId="18" fillId="15" borderId="55" xfId="0" applyFont="1" applyFill="1" applyBorder="1" applyAlignment="1">
      <alignment horizontal="center" vertical="center" wrapText="1"/>
    </xf>
    <xf numFmtId="0" fontId="18" fillId="3" borderId="52" xfId="0" applyFont="1" applyFill="1" applyBorder="1" applyAlignment="1">
      <alignment horizontal="center" vertical="center" wrapText="1"/>
    </xf>
    <xf numFmtId="0" fontId="18" fillId="3" borderId="54" xfId="0" applyFont="1" applyFill="1" applyBorder="1" applyAlignment="1">
      <alignment horizontal="center" vertical="center" wrapText="1"/>
    </xf>
    <xf numFmtId="0" fontId="18" fillId="3" borderId="55" xfId="0" applyFont="1" applyFill="1" applyBorder="1" applyAlignment="1">
      <alignment horizontal="center" vertical="center" wrapText="1"/>
    </xf>
    <xf numFmtId="0" fontId="0" fillId="12" borderId="49" xfId="0" applyFill="1" applyBorder="1" applyAlignment="1">
      <alignment horizontal="center"/>
    </xf>
    <xf numFmtId="0" fontId="0" fillId="12" borderId="50" xfId="0" applyFill="1" applyBorder="1" applyAlignment="1">
      <alignment horizontal="center"/>
    </xf>
    <xf numFmtId="0" fontId="0" fillId="12" borderId="51" xfId="0" applyFill="1" applyBorder="1" applyAlignment="1">
      <alignment horizontal="center"/>
    </xf>
    <xf numFmtId="0" fontId="0" fillId="12" borderId="52" xfId="0" applyFill="1" applyBorder="1" applyAlignment="1">
      <alignment horizontal="center"/>
    </xf>
    <xf numFmtId="0" fontId="0" fillId="12" borderId="54" xfId="0" applyFill="1" applyBorder="1" applyAlignment="1">
      <alignment horizontal="center"/>
    </xf>
    <xf numFmtId="0" fontId="0" fillId="12" borderId="55" xfId="0" applyFill="1" applyBorder="1" applyAlignment="1">
      <alignment horizontal="center"/>
    </xf>
    <xf numFmtId="0" fontId="14" fillId="12" borderId="53" xfId="0" applyFont="1" applyFill="1" applyBorder="1" applyAlignment="1">
      <alignment horizontal="center" vertical="center" wrapText="1"/>
    </xf>
    <xf numFmtId="0" fontId="14" fillId="13" borderId="53" xfId="0" applyFont="1" applyFill="1" applyBorder="1" applyAlignment="1">
      <alignment horizontal="center" vertical="center" wrapText="1"/>
    </xf>
    <xf numFmtId="0" fontId="20" fillId="14" borderId="53" xfId="0" applyFont="1" applyFill="1" applyBorder="1" applyAlignment="1">
      <alignment horizontal="center" vertical="center" wrapText="1"/>
    </xf>
    <xf numFmtId="0" fontId="20" fillId="14" borderId="52" xfId="0" applyFont="1" applyFill="1" applyBorder="1" applyAlignment="1">
      <alignment horizontal="center" vertical="center" wrapText="1"/>
    </xf>
    <xf numFmtId="0" fontId="20" fillId="14" borderId="55" xfId="0" applyFont="1" applyFill="1" applyBorder="1" applyAlignment="1">
      <alignment horizontal="center" vertical="center" wrapText="1"/>
    </xf>
    <xf numFmtId="0" fontId="9" fillId="7" borderId="46" xfId="0" applyFont="1" applyFill="1" applyBorder="1" applyAlignment="1">
      <alignment horizontal="left" vertical="center" indent="1"/>
    </xf>
    <xf numFmtId="0" fontId="9" fillId="7" borderId="47" xfId="0" applyFont="1" applyFill="1" applyBorder="1" applyAlignment="1">
      <alignment horizontal="left" vertical="center" inden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0" fillId="17" borderId="10" xfId="0" applyFill="1" applyBorder="1" applyAlignment="1">
      <alignment horizontal="center"/>
    </xf>
    <xf numFmtId="0" fontId="0" fillId="17" borderId="11" xfId="0" applyFill="1" applyBorder="1" applyAlignment="1">
      <alignment horizontal="center"/>
    </xf>
    <xf numFmtId="0" fontId="0" fillId="17" borderId="12" xfId="0" applyFill="1" applyBorder="1" applyAlignment="1">
      <alignment horizontal="center"/>
    </xf>
    <xf numFmtId="0" fontId="8" fillId="3" borderId="13" xfId="0" applyFont="1" applyFill="1" applyBorder="1" applyAlignment="1">
      <alignment horizontal="left" vertical="center" wrapText="1" indent="1"/>
    </xf>
    <xf numFmtId="0" fontId="8" fillId="3" borderId="18" xfId="0" applyFont="1" applyFill="1" applyBorder="1" applyAlignment="1">
      <alignment horizontal="left" vertical="center" wrapText="1" indent="1"/>
    </xf>
    <xf numFmtId="0" fontId="8" fillId="0" borderId="17" xfId="0" applyFont="1" applyBorder="1" applyAlignment="1">
      <alignment horizontal="center" vertical="center"/>
    </xf>
    <xf numFmtId="0" fontId="9" fillId="0" borderId="13" xfId="0" applyFont="1" applyBorder="1" applyAlignment="1">
      <alignment horizontal="left" vertical="center"/>
    </xf>
    <xf numFmtId="0" fontId="8" fillId="0" borderId="13" xfId="0" applyFont="1" applyBorder="1" applyAlignment="1">
      <alignment horizontal="left" vertical="center" indent="1"/>
    </xf>
    <xf numFmtId="0" fontId="8" fillId="3" borderId="13" xfId="0" applyFont="1" applyFill="1" applyBorder="1" applyAlignment="1">
      <alignment horizontal="left" vertical="center" indent="1"/>
    </xf>
    <xf numFmtId="0" fontId="8" fillId="3" borderId="18" xfId="0" applyFont="1" applyFill="1" applyBorder="1" applyAlignment="1">
      <alignment horizontal="left" vertical="center" indent="1"/>
    </xf>
    <xf numFmtId="0" fontId="8" fillId="3" borderId="17" xfId="0" applyFont="1" applyFill="1" applyBorder="1" applyAlignment="1">
      <alignment horizontal="center" vertical="center"/>
    </xf>
    <xf numFmtId="0" fontId="9" fillId="3" borderId="13" xfId="0" applyFont="1" applyFill="1" applyBorder="1" applyAlignment="1">
      <alignment horizontal="left" vertical="center" wrapText="1"/>
    </xf>
    <xf numFmtId="0" fontId="9" fillId="0" borderId="13" xfId="0" applyFont="1" applyBorder="1" applyAlignment="1">
      <alignment horizontal="left" vertical="center" wrapText="1"/>
    </xf>
    <xf numFmtId="0" fontId="8" fillId="3" borderId="13" xfId="0" applyFont="1" applyFill="1" applyBorder="1" applyAlignment="1">
      <alignment horizontal="left" vertical="center" indent="2"/>
    </xf>
    <xf numFmtId="0" fontId="8" fillId="3" borderId="18" xfId="0" applyFont="1" applyFill="1" applyBorder="1" applyAlignment="1">
      <alignment horizontal="left" vertical="center" indent="2"/>
    </xf>
    <xf numFmtId="0" fontId="8" fillId="0" borderId="18" xfId="0" applyFont="1" applyBorder="1" applyAlignment="1">
      <alignment horizontal="left" vertical="center" indent="1"/>
    </xf>
    <xf numFmtId="0" fontId="0" fillId="16" borderId="6" xfId="0" applyFill="1" applyBorder="1" applyAlignment="1">
      <alignment horizontal="center"/>
    </xf>
    <xf numFmtId="0" fontId="0" fillId="16" borderId="7" xfId="0" applyFill="1" applyBorder="1" applyAlignment="1">
      <alignment horizontal="center"/>
    </xf>
    <xf numFmtId="0" fontId="0" fillId="16" borderId="8" xfId="0" applyFill="1" applyBorder="1" applyAlignment="1">
      <alignment horizontal="center"/>
    </xf>
    <xf numFmtId="49" fontId="4" fillId="16" borderId="9" xfId="0" applyNumberFormat="1" applyFont="1" applyFill="1" applyBorder="1" applyAlignment="1">
      <alignment horizontal="center" vertical="center"/>
    </xf>
    <xf numFmtId="49" fontId="23" fillId="3" borderId="22" xfId="0" applyNumberFormat="1" applyFont="1" applyFill="1" applyBorder="1" applyAlignment="1">
      <alignment horizontal="center" vertical="center"/>
    </xf>
    <xf numFmtId="49" fontId="23" fillId="3" borderId="23" xfId="0" applyNumberFormat="1" applyFont="1" applyFill="1" applyBorder="1" applyAlignment="1">
      <alignment horizontal="center" vertical="center"/>
    </xf>
    <xf numFmtId="49" fontId="23" fillId="3" borderId="4" xfId="0" applyNumberFormat="1" applyFont="1" applyFill="1" applyBorder="1" applyAlignment="1">
      <alignment horizontal="center" vertical="center"/>
    </xf>
    <xf numFmtId="0" fontId="0" fillId="16" borderId="5" xfId="0" applyFill="1" applyBorder="1" applyAlignment="1">
      <alignment horizontal="center"/>
    </xf>
    <xf numFmtId="49" fontId="5" fillId="16" borderId="22" xfId="0" applyNumberFormat="1" applyFont="1" applyFill="1" applyBorder="1" applyAlignment="1">
      <alignment horizontal="center" vertical="center"/>
    </xf>
    <xf numFmtId="49" fontId="5" fillId="16" borderId="23" xfId="0" applyNumberFormat="1" applyFont="1" applyFill="1" applyBorder="1" applyAlignment="1">
      <alignment horizontal="center" vertical="center"/>
    </xf>
    <xf numFmtId="49" fontId="5" fillId="16" borderId="4" xfId="0" applyNumberFormat="1" applyFont="1" applyFill="1" applyBorder="1" applyAlignment="1">
      <alignment horizontal="center" vertical="center"/>
    </xf>
    <xf numFmtId="49" fontId="21" fillId="7" borderId="22" xfId="0" applyNumberFormat="1" applyFont="1" applyFill="1" applyBorder="1" applyAlignment="1">
      <alignment horizontal="center" vertical="center"/>
    </xf>
    <xf numFmtId="49" fontId="21" fillId="7" borderId="23" xfId="0" applyNumberFormat="1" applyFont="1" applyFill="1" applyBorder="1" applyAlignment="1">
      <alignment horizontal="center" vertical="center"/>
    </xf>
    <xf numFmtId="49" fontId="21" fillId="7" borderId="4" xfId="0" applyNumberFormat="1" applyFont="1" applyFill="1" applyBorder="1" applyAlignment="1">
      <alignment horizontal="center" vertical="center"/>
    </xf>
    <xf numFmtId="49" fontId="6" fillId="16" borderId="6" xfId="0" applyNumberFormat="1" applyFont="1" applyFill="1" applyBorder="1" applyAlignment="1">
      <alignment horizontal="center" vertical="center"/>
    </xf>
    <xf numFmtId="49" fontId="6" fillId="16" borderId="7" xfId="0" applyNumberFormat="1" applyFont="1" applyFill="1" applyBorder="1" applyAlignment="1">
      <alignment horizontal="center" vertical="center"/>
    </xf>
    <xf numFmtId="49" fontId="6" fillId="16" borderId="8" xfId="0" applyNumberFormat="1" applyFont="1" applyFill="1" applyBorder="1" applyAlignment="1">
      <alignment horizontal="center" vertical="center"/>
    </xf>
    <xf numFmtId="49" fontId="29" fillId="3" borderId="22" xfId="0" applyNumberFormat="1" applyFont="1" applyFill="1" applyBorder="1" applyAlignment="1">
      <alignment horizontal="center" vertical="center"/>
    </xf>
    <xf numFmtId="49" fontId="29" fillId="3" borderId="4" xfId="0" applyNumberFormat="1" applyFont="1" applyFill="1" applyBorder="1" applyAlignment="1">
      <alignment horizontal="center" vertical="center"/>
    </xf>
    <xf numFmtId="49" fontId="43" fillId="13" borderId="6" xfId="0" applyNumberFormat="1" applyFont="1" applyFill="1" applyBorder="1" applyAlignment="1">
      <alignment horizontal="center" vertical="center"/>
    </xf>
    <xf numFmtId="49" fontId="43" fillId="13" borderId="7" xfId="0" applyNumberFormat="1" applyFont="1" applyFill="1" applyBorder="1" applyAlignment="1">
      <alignment horizontal="center" vertical="center"/>
    </xf>
    <xf numFmtId="49" fontId="43" fillId="13" borderId="8" xfId="0" applyNumberFormat="1" applyFont="1" applyFill="1" applyBorder="1" applyAlignment="1">
      <alignment horizontal="center" vertical="center"/>
    </xf>
    <xf numFmtId="49" fontId="43" fillId="13" borderId="10" xfId="0" applyNumberFormat="1" applyFont="1" applyFill="1" applyBorder="1" applyAlignment="1">
      <alignment horizontal="center" vertical="center"/>
    </xf>
    <xf numFmtId="49" fontId="43" fillId="13" borderId="11" xfId="0" applyNumberFormat="1" applyFont="1" applyFill="1" applyBorder="1" applyAlignment="1">
      <alignment horizontal="center" vertical="center"/>
    </xf>
    <xf numFmtId="49" fontId="43" fillId="13" borderId="12" xfId="0" applyNumberFormat="1" applyFont="1" applyFill="1" applyBorder="1" applyAlignment="1">
      <alignment horizontal="center" vertical="center"/>
    </xf>
    <xf numFmtId="49" fontId="29" fillId="6" borderId="22" xfId="0" applyNumberFormat="1" applyFont="1" applyFill="1" applyBorder="1" applyAlignment="1">
      <alignment horizontal="center" vertical="center"/>
    </xf>
    <xf numFmtId="49" fontId="29" fillId="6" borderId="4" xfId="0" applyNumberFormat="1" applyFont="1" applyFill="1" applyBorder="1" applyAlignment="1">
      <alignment horizontal="center" vertical="center"/>
    </xf>
    <xf numFmtId="0" fontId="0" fillId="16" borderId="23" xfId="0" applyFill="1" applyBorder="1" applyAlignment="1">
      <alignment horizontal="center"/>
    </xf>
    <xf numFmtId="0" fontId="7" fillId="4" borderId="38" xfId="0" applyFont="1" applyFill="1" applyBorder="1" applyAlignment="1">
      <alignment horizontal="center" vertical="center"/>
    </xf>
    <xf numFmtId="0" fontId="7" fillId="4" borderId="7" xfId="0" applyFont="1" applyFill="1" applyBorder="1" applyAlignment="1">
      <alignment horizontal="center" vertical="center"/>
    </xf>
    <xf numFmtId="0" fontId="7" fillId="4" borderId="39" xfId="0" applyFont="1" applyFill="1" applyBorder="1" applyAlignment="1">
      <alignment horizontal="center" vertical="center"/>
    </xf>
    <xf numFmtId="0" fontId="8" fillId="0" borderId="15" xfId="0" applyFont="1" applyBorder="1" applyAlignment="1">
      <alignment horizontal="left" vertical="center" wrapText="1" indent="1"/>
    </xf>
    <xf numFmtId="0" fontId="8" fillId="0" borderId="16" xfId="0" applyFont="1" applyBorder="1" applyAlignment="1">
      <alignment horizontal="left" vertical="center" wrapText="1" indent="1"/>
    </xf>
    <xf numFmtId="0" fontId="32" fillId="3" borderId="0" xfId="0" applyFont="1" applyFill="1" applyAlignment="1">
      <alignment horizontal="center" vertical="center"/>
    </xf>
    <xf numFmtId="0" fontId="31" fillId="3" borderId="24" xfId="0" applyFont="1" applyFill="1" applyBorder="1" applyAlignment="1">
      <alignment horizontal="left" vertical="center" indent="1"/>
    </xf>
    <xf numFmtId="0" fontId="31" fillId="3" borderId="40" xfId="0" applyFont="1" applyFill="1" applyBorder="1" applyAlignment="1">
      <alignment horizontal="left" vertical="center" indent="1"/>
    </xf>
    <xf numFmtId="0" fontId="31" fillId="3" borderId="30" xfId="0" applyFont="1" applyFill="1" applyBorder="1" applyAlignment="1">
      <alignment horizontal="left" vertical="center" indent="1"/>
    </xf>
    <xf numFmtId="0" fontId="19" fillId="3" borderId="13" xfId="0" applyFont="1" applyFill="1" applyBorder="1" applyAlignment="1">
      <alignment horizontal="center" vertical="center"/>
    </xf>
    <xf numFmtId="0" fontId="19" fillId="3" borderId="18" xfId="0" applyFont="1" applyFill="1" applyBorder="1" applyAlignment="1">
      <alignment horizontal="center" vertical="center"/>
    </xf>
    <xf numFmtId="0" fontId="19" fillId="0" borderId="13" xfId="0" applyFont="1" applyBorder="1" applyAlignment="1">
      <alignment horizontal="center" vertical="center"/>
    </xf>
    <xf numFmtId="0" fontId="19" fillId="0" borderId="18" xfId="0" applyFont="1" applyBorder="1" applyAlignment="1">
      <alignment horizontal="center" vertical="center"/>
    </xf>
    <xf numFmtId="0" fontId="19" fillId="3" borderId="13" xfId="0" applyFont="1" applyFill="1" applyBorder="1" applyAlignment="1">
      <alignment horizontal="center" vertical="center" wrapText="1"/>
    </xf>
    <xf numFmtId="0" fontId="19" fillId="3" borderId="18" xfId="0" applyFont="1" applyFill="1" applyBorder="1" applyAlignment="1">
      <alignment horizontal="center" vertical="center" wrapText="1"/>
    </xf>
    <xf numFmtId="0" fontId="31" fillId="3" borderId="28" xfId="0" applyFont="1" applyFill="1" applyBorder="1" applyAlignment="1">
      <alignment horizontal="left" vertical="center" indent="1"/>
    </xf>
    <xf numFmtId="0" fontId="31" fillId="3" borderId="58" xfId="0" applyFont="1" applyFill="1" applyBorder="1" applyAlignment="1">
      <alignment horizontal="left" vertical="center" indent="1"/>
    </xf>
    <xf numFmtId="0" fontId="31" fillId="3" borderId="35" xfId="0" applyFont="1" applyFill="1" applyBorder="1" applyAlignment="1">
      <alignment horizontal="left" vertical="center" indent="1"/>
    </xf>
    <xf numFmtId="0" fontId="19" fillId="3" borderId="20" xfId="0" applyFont="1" applyFill="1" applyBorder="1" applyAlignment="1">
      <alignment horizontal="center" vertical="center"/>
    </xf>
    <xf numFmtId="0" fontId="19" fillId="3" borderId="21" xfId="0" applyFont="1" applyFill="1" applyBorder="1" applyAlignment="1">
      <alignment horizontal="center" vertical="center"/>
    </xf>
    <xf numFmtId="0" fontId="19" fillId="0" borderId="24" xfId="0" applyFont="1" applyBorder="1" applyAlignment="1">
      <alignment horizontal="center" vertical="center"/>
    </xf>
    <xf numFmtId="0" fontId="19" fillId="0" borderId="40" xfId="0" applyFont="1" applyBorder="1" applyAlignment="1">
      <alignment horizontal="center" vertical="center"/>
    </xf>
    <xf numFmtId="0" fontId="19" fillId="0" borderId="41" xfId="0" applyFont="1" applyBorder="1" applyAlignment="1">
      <alignment horizontal="center" vertical="center"/>
    </xf>
    <xf numFmtId="49" fontId="17" fillId="11" borderId="22" xfId="0" applyNumberFormat="1" applyFont="1" applyFill="1" applyBorder="1" applyAlignment="1">
      <alignment horizontal="center" vertical="center" wrapText="1"/>
    </xf>
    <xf numFmtId="49" fontId="17" fillId="11" borderId="23" xfId="0" applyNumberFormat="1" applyFont="1" applyFill="1" applyBorder="1" applyAlignment="1">
      <alignment horizontal="center" vertical="center" wrapText="1"/>
    </xf>
    <xf numFmtId="49" fontId="17" fillId="11" borderId="4" xfId="0" applyNumberFormat="1" applyFont="1" applyFill="1" applyBorder="1" applyAlignment="1">
      <alignment horizontal="center" vertical="center" wrapText="1"/>
    </xf>
    <xf numFmtId="0" fontId="22" fillId="17" borderId="0" xfId="0" applyFont="1" applyFill="1" applyAlignment="1">
      <alignment horizontal="center" vertical="center"/>
    </xf>
    <xf numFmtId="0" fontId="17" fillId="3" borderId="22" xfId="0" applyFont="1" applyFill="1" applyBorder="1" applyAlignment="1">
      <alignment horizontal="center" vertical="center"/>
    </xf>
    <xf numFmtId="0" fontId="17" fillId="3" borderId="23" xfId="0" applyFont="1" applyFill="1" applyBorder="1" applyAlignment="1">
      <alignment horizontal="center" vertical="center"/>
    </xf>
    <xf numFmtId="0" fontId="17" fillId="3" borderId="4" xfId="0" applyFont="1" applyFill="1" applyBorder="1" applyAlignment="1">
      <alignment horizontal="center" vertical="center"/>
    </xf>
    <xf numFmtId="0" fontId="30" fillId="9" borderId="22" xfId="0" applyFont="1" applyFill="1" applyBorder="1" applyAlignment="1">
      <alignment horizontal="center" vertical="center"/>
    </xf>
    <xf numFmtId="0" fontId="30" fillId="9" borderId="23" xfId="0" applyFont="1" applyFill="1" applyBorder="1" applyAlignment="1">
      <alignment horizontal="center" vertical="center"/>
    </xf>
    <xf numFmtId="0" fontId="30" fillId="9" borderId="4"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34" xfId="0" applyFont="1" applyFill="1" applyBorder="1" applyAlignment="1">
      <alignment horizontal="center" vertical="center"/>
    </xf>
    <xf numFmtId="0" fontId="30" fillId="4" borderId="1" xfId="0" applyFont="1" applyFill="1" applyBorder="1" applyAlignment="1">
      <alignment horizontal="center" vertical="center"/>
    </xf>
    <xf numFmtId="0" fontId="30" fillId="4" borderId="2" xfId="0" applyFont="1" applyFill="1" applyBorder="1" applyAlignment="1">
      <alignment horizontal="center" vertical="center"/>
    </xf>
    <xf numFmtId="0" fontId="0" fillId="17" borderId="6" xfId="0" applyFill="1" applyBorder="1" applyAlignment="1">
      <alignment horizontal="center"/>
    </xf>
    <xf numFmtId="0" fontId="0" fillId="17" borderId="7" xfId="0" applyFill="1" applyBorder="1" applyAlignment="1">
      <alignment horizontal="center"/>
    </xf>
    <xf numFmtId="0" fontId="0" fillId="17" borderId="8" xfId="0" applyFill="1" applyBorder="1" applyAlignment="1">
      <alignment horizontal="center"/>
    </xf>
    <xf numFmtId="49" fontId="27" fillId="17" borderId="9" xfId="0" applyNumberFormat="1" applyFont="1" applyFill="1" applyBorder="1" applyAlignment="1">
      <alignment horizontal="center"/>
    </xf>
    <xf numFmtId="49" fontId="27" fillId="17" borderId="10" xfId="0" applyNumberFormat="1" applyFont="1" applyFill="1" applyBorder="1" applyAlignment="1">
      <alignment horizontal="center"/>
    </xf>
    <xf numFmtId="49" fontId="28" fillId="3" borderId="22" xfId="0" applyNumberFormat="1" applyFont="1" applyFill="1" applyBorder="1" applyAlignment="1">
      <alignment horizontal="center" vertical="center"/>
    </xf>
    <xf numFmtId="49" fontId="28" fillId="3" borderId="23" xfId="0" applyNumberFormat="1" applyFont="1" applyFill="1" applyBorder="1" applyAlignment="1">
      <alignment horizontal="center" vertical="center"/>
    </xf>
    <xf numFmtId="49" fontId="28" fillId="3" borderId="4" xfId="0" applyNumberFormat="1" applyFont="1" applyFill="1" applyBorder="1" applyAlignment="1">
      <alignment horizontal="center" vertical="center"/>
    </xf>
    <xf numFmtId="0" fontId="0" fillId="17" borderId="5" xfId="0" applyFill="1" applyBorder="1" applyAlignment="1">
      <alignment horizontal="center"/>
    </xf>
    <xf numFmtId="49" fontId="5" fillId="17" borderId="23" xfId="0" applyNumberFormat="1" applyFont="1" applyFill="1" applyBorder="1" applyAlignment="1">
      <alignment horizontal="center" vertical="center"/>
    </xf>
    <xf numFmtId="49" fontId="44" fillId="13" borderId="22" xfId="0" applyNumberFormat="1" applyFont="1" applyFill="1" applyBorder="1" applyAlignment="1">
      <alignment horizontal="center" vertical="center"/>
    </xf>
    <xf numFmtId="49" fontId="44" fillId="13" borderId="23" xfId="0" applyNumberFormat="1" applyFont="1" applyFill="1" applyBorder="1" applyAlignment="1">
      <alignment horizontal="center" vertical="center"/>
    </xf>
    <xf numFmtId="49" fontId="44" fillId="13" borderId="4" xfId="0" applyNumberFormat="1" applyFont="1" applyFill="1" applyBorder="1" applyAlignment="1">
      <alignment horizontal="center" vertical="center"/>
    </xf>
    <xf numFmtId="49" fontId="41" fillId="17" borderId="0" xfId="0" applyNumberFormat="1" applyFont="1" applyFill="1" applyAlignment="1">
      <alignment horizontal="center" vertical="center"/>
    </xf>
    <xf numFmtId="0" fontId="29" fillId="0" borderId="6" xfId="0" applyFont="1" applyBorder="1" applyAlignment="1">
      <alignment horizontal="center"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16" fillId="17" borderId="0" xfId="0" applyFont="1" applyFill="1" applyAlignment="1">
      <alignment horizontal="center" vertical="center"/>
    </xf>
    <xf numFmtId="0" fontId="31" fillId="3" borderId="25" xfId="0" applyFont="1" applyFill="1" applyBorder="1" applyAlignment="1">
      <alignment horizontal="left" vertical="center" indent="1"/>
    </xf>
    <xf numFmtId="0" fontId="31" fillId="3" borderId="45" xfId="0" applyFont="1" applyFill="1" applyBorder="1" applyAlignment="1">
      <alignment horizontal="left" vertical="center" indent="1"/>
    </xf>
    <xf numFmtId="0" fontId="31" fillId="3" borderId="26" xfId="0" applyFont="1" applyFill="1" applyBorder="1" applyAlignment="1">
      <alignment horizontal="left" vertical="center" indent="1"/>
    </xf>
    <xf numFmtId="0" fontId="19" fillId="0" borderId="15" xfId="0" applyFont="1" applyBorder="1" applyAlignment="1">
      <alignment horizontal="center" vertical="center"/>
    </xf>
    <xf numFmtId="0" fontId="19" fillId="0" borderId="16" xfId="0" applyFont="1" applyBorder="1" applyAlignment="1">
      <alignment horizontal="center" vertical="center"/>
    </xf>
    <xf numFmtId="49" fontId="17" fillId="10" borderId="22" xfId="0" applyNumberFormat="1" applyFont="1" applyFill="1" applyBorder="1" applyAlignment="1">
      <alignment horizontal="center" vertical="center" wrapText="1"/>
    </xf>
    <xf numFmtId="49" fontId="17" fillId="10" borderId="23" xfId="0" applyNumberFormat="1" applyFont="1" applyFill="1" applyBorder="1" applyAlignment="1">
      <alignment horizontal="center" vertical="center" wrapText="1"/>
    </xf>
    <xf numFmtId="49" fontId="17" fillId="10" borderId="4" xfId="0" applyNumberFormat="1" applyFont="1" applyFill="1" applyBorder="1" applyAlignment="1">
      <alignment horizontal="center" vertical="center" wrapText="1"/>
    </xf>
    <xf numFmtId="0" fontId="19" fillId="17" borderId="33" xfId="0" applyFont="1" applyFill="1" applyBorder="1" applyAlignment="1">
      <alignment horizontal="center"/>
    </xf>
    <xf numFmtId="49" fontId="17" fillId="2" borderId="22" xfId="0" applyNumberFormat="1" applyFont="1" applyFill="1" applyBorder="1" applyAlignment="1">
      <alignment horizontal="center" vertical="center" wrapText="1"/>
    </xf>
    <xf numFmtId="49" fontId="17" fillId="2" borderId="23" xfId="0" applyNumberFormat="1" applyFont="1" applyFill="1" applyBorder="1" applyAlignment="1">
      <alignment horizontal="center" vertical="center" wrapText="1"/>
    </xf>
    <xf numFmtId="49" fontId="17" fillId="2" borderId="4" xfId="0" applyNumberFormat="1" applyFont="1" applyFill="1" applyBorder="1" applyAlignment="1">
      <alignment horizontal="center" vertical="center" wrapText="1"/>
    </xf>
    <xf numFmtId="0" fontId="0" fillId="16" borderId="10" xfId="0" applyFill="1" applyBorder="1" applyAlignment="1">
      <alignment horizontal="center"/>
    </xf>
    <xf numFmtId="0" fontId="0" fillId="16" borderId="11" xfId="0" applyFill="1" applyBorder="1" applyAlignment="1">
      <alignment horizontal="center"/>
    </xf>
    <xf numFmtId="0" fontId="0" fillId="16" borderId="12" xfId="0" applyFill="1" applyBorder="1" applyAlignment="1">
      <alignment horizontal="center"/>
    </xf>
    <xf numFmtId="0" fontId="16" fillId="16" borderId="23" xfId="0" applyFont="1" applyFill="1" applyBorder="1" applyAlignment="1">
      <alignment horizontal="center" vertical="center"/>
    </xf>
    <xf numFmtId="49" fontId="17" fillId="7" borderId="22" xfId="0" applyNumberFormat="1" applyFont="1" applyFill="1" applyBorder="1" applyAlignment="1">
      <alignment horizontal="center" vertical="center"/>
    </xf>
    <xf numFmtId="49" fontId="17" fillId="7" borderId="23" xfId="0" applyNumberFormat="1" applyFont="1" applyFill="1" applyBorder="1" applyAlignment="1">
      <alignment horizontal="center" vertical="center"/>
    </xf>
    <xf numFmtId="49" fontId="17" fillId="7" borderId="4" xfId="0" applyNumberFormat="1" applyFont="1" applyFill="1" applyBorder="1" applyAlignment="1">
      <alignment horizontal="center" vertical="center"/>
    </xf>
    <xf numFmtId="49" fontId="17" fillId="7" borderId="6" xfId="0" applyNumberFormat="1" applyFont="1" applyFill="1" applyBorder="1" applyAlignment="1">
      <alignment horizontal="center" vertical="center"/>
    </xf>
    <xf numFmtId="49" fontId="17" fillId="7" borderId="7" xfId="0" applyNumberFormat="1" applyFont="1" applyFill="1" applyBorder="1" applyAlignment="1">
      <alignment horizontal="center" vertical="center"/>
    </xf>
    <xf numFmtId="49" fontId="17" fillId="7" borderId="8" xfId="0" applyNumberFormat="1" applyFont="1" applyFill="1" applyBorder="1" applyAlignment="1">
      <alignment horizontal="center" vertical="center"/>
    </xf>
    <xf numFmtId="0" fontId="16" fillId="16" borderId="1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4" xfId="0" applyFont="1" applyFill="1" applyBorder="1" applyAlignment="1">
      <alignment horizontal="center" vertical="center"/>
    </xf>
    <xf numFmtId="49" fontId="5" fillId="16" borderId="11" xfId="0" applyNumberFormat="1" applyFont="1" applyFill="1" applyBorder="1" applyAlignment="1">
      <alignment horizontal="center" vertical="center"/>
    </xf>
    <xf numFmtId="49" fontId="45" fillId="13" borderId="22" xfId="0" applyNumberFormat="1" applyFont="1" applyFill="1" applyBorder="1" applyAlignment="1">
      <alignment horizontal="center" vertical="center"/>
    </xf>
    <xf numFmtId="49" fontId="45" fillId="13" borderId="23" xfId="0" applyNumberFormat="1" applyFont="1" applyFill="1" applyBorder="1" applyAlignment="1">
      <alignment horizontal="center" vertical="center"/>
    </xf>
    <xf numFmtId="49" fontId="45" fillId="13" borderId="4" xfId="0" applyNumberFormat="1" applyFont="1" applyFill="1" applyBorder="1" applyAlignment="1">
      <alignment horizontal="center" vertical="center"/>
    </xf>
    <xf numFmtId="49" fontId="41" fillId="16" borderId="0" xfId="0" applyNumberFormat="1" applyFont="1" applyFill="1" applyAlignment="1">
      <alignment horizontal="center" vertical="center"/>
    </xf>
    <xf numFmtId="0" fontId="13" fillId="16" borderId="9" xfId="0" applyFont="1" applyFill="1" applyBorder="1" applyAlignment="1">
      <alignment horizontal="center"/>
    </xf>
    <xf numFmtId="49" fontId="14" fillId="16" borderId="5" xfId="0" applyNumberFormat="1" applyFont="1" applyFill="1" applyBorder="1" applyAlignment="1">
      <alignment horizontal="center" vertical="center"/>
    </xf>
    <xf numFmtId="0" fontId="0" fillId="0" borderId="13" xfId="0" applyBorder="1" applyAlignment="1">
      <alignment horizontal="center" vertical="center"/>
    </xf>
    <xf numFmtId="0" fontId="0" fillId="0" borderId="18" xfId="0" applyBorder="1" applyAlignment="1">
      <alignment horizontal="center" vertical="center"/>
    </xf>
    <xf numFmtId="49" fontId="0" fillId="0" borderId="17" xfId="0" applyNumberFormat="1" applyBorder="1" applyAlignment="1">
      <alignment horizontal="center" vertical="center"/>
    </xf>
    <xf numFmtId="49" fontId="0" fillId="0" borderId="18" xfId="0" applyNumberFormat="1" applyBorder="1" applyAlignment="1">
      <alignment horizontal="center" vertical="center"/>
    </xf>
    <xf numFmtId="0" fontId="0" fillId="0" borderId="30" xfId="0" applyBorder="1" applyAlignment="1">
      <alignment horizontal="center" vertical="center"/>
    </xf>
    <xf numFmtId="49" fontId="0" fillId="0" borderId="13" xfId="0" applyNumberFormat="1" applyBorder="1" applyAlignment="1">
      <alignment horizontal="center" vertical="center"/>
    </xf>
    <xf numFmtId="0" fontId="0" fillId="0" borderId="24" xfId="0" applyBorder="1" applyAlignment="1">
      <alignment horizontal="center" vertical="center"/>
    </xf>
    <xf numFmtId="0" fontId="0" fillId="0" borderId="41" xfId="0" applyBorder="1" applyAlignment="1">
      <alignment horizontal="center" vertical="center"/>
    </xf>
    <xf numFmtId="0" fontId="39" fillId="0" borderId="6" xfId="0" applyFont="1" applyBorder="1" applyAlignment="1">
      <alignment horizontal="center" vertical="center"/>
    </xf>
    <xf numFmtId="0" fontId="39" fillId="0" borderId="7" xfId="0" applyFont="1" applyBorder="1" applyAlignment="1">
      <alignment horizontal="center" vertical="center"/>
    </xf>
    <xf numFmtId="0" fontId="39" fillId="0" borderId="8" xfId="0" applyFont="1" applyBorder="1" applyAlignment="1">
      <alignment horizontal="center" vertical="center"/>
    </xf>
    <xf numFmtId="0" fontId="39" fillId="0" borderId="9" xfId="0" applyFont="1" applyBorder="1" applyAlignment="1">
      <alignment horizontal="center" vertical="center"/>
    </xf>
    <xf numFmtId="0" fontId="39" fillId="0" borderId="0" xfId="0" applyFont="1" applyAlignment="1">
      <alignment horizontal="center" vertical="center"/>
    </xf>
    <xf numFmtId="0" fontId="39" fillId="0" borderId="5" xfId="0" applyFont="1" applyBorder="1" applyAlignment="1">
      <alignment horizontal="center" vertical="center"/>
    </xf>
    <xf numFmtId="0" fontId="39" fillId="0" borderId="10" xfId="0" applyFont="1" applyBorder="1" applyAlignment="1">
      <alignment horizontal="center" vertical="center"/>
    </xf>
    <xf numFmtId="0" fontId="39" fillId="0" borderId="11" xfId="0" applyFont="1" applyBorder="1" applyAlignment="1">
      <alignment horizontal="center" vertical="center"/>
    </xf>
    <xf numFmtId="0" fontId="39" fillId="0" borderId="12" xfId="0" applyFont="1" applyBorder="1" applyAlignment="1">
      <alignment horizontal="center" vertical="center"/>
    </xf>
    <xf numFmtId="0" fontId="3" fillId="4" borderId="6"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39" xfId="0" applyFont="1" applyFill="1" applyBorder="1" applyAlignment="1">
      <alignment horizontal="center" vertical="center"/>
    </xf>
    <xf numFmtId="0" fontId="3" fillId="4" borderId="32" xfId="0" applyFont="1" applyFill="1" applyBorder="1" applyAlignment="1">
      <alignment horizontal="center" vertical="center" wrapText="1"/>
    </xf>
    <xf numFmtId="0" fontId="3" fillId="4" borderId="31" xfId="0" applyFont="1" applyFill="1" applyBorder="1" applyAlignment="1">
      <alignment horizontal="center" vertical="center" wrapText="1"/>
    </xf>
    <xf numFmtId="0" fontId="3" fillId="4" borderId="32" xfId="0" applyFont="1" applyFill="1" applyBorder="1" applyAlignment="1">
      <alignment horizontal="center" vertical="center"/>
    </xf>
    <xf numFmtId="0" fontId="3" fillId="4" borderId="31" xfId="0" applyFont="1" applyFill="1" applyBorder="1" applyAlignment="1">
      <alignment horizontal="center" vertical="center"/>
    </xf>
    <xf numFmtId="49" fontId="0" fillId="0" borderId="14" xfId="0" applyNumberFormat="1" applyBorder="1" applyAlignment="1">
      <alignment horizontal="center" vertical="center"/>
    </xf>
    <xf numFmtId="49" fontId="0" fillId="0" borderId="16" xfId="0" applyNumberFormat="1" applyBorder="1" applyAlignment="1">
      <alignment horizontal="center" vertical="center"/>
    </xf>
    <xf numFmtId="0" fontId="0" fillId="0" borderId="26" xfId="0" applyBorder="1" applyAlignment="1">
      <alignment horizontal="center" vertical="center"/>
    </xf>
    <xf numFmtId="0" fontId="0" fillId="0" borderId="15" xfId="0" applyBorder="1" applyAlignment="1">
      <alignment horizontal="center" vertical="center"/>
    </xf>
    <xf numFmtId="49" fontId="0" fillId="0" borderId="15" xfId="0" applyNumberFormat="1" applyBorder="1" applyAlignment="1">
      <alignment horizontal="center" vertical="center"/>
    </xf>
    <xf numFmtId="0" fontId="0" fillId="0" borderId="16" xfId="0" applyBorder="1" applyAlignment="1">
      <alignment horizontal="center" vertical="center"/>
    </xf>
    <xf numFmtId="49" fontId="0" fillId="0" borderId="19" xfId="0" applyNumberFormat="1" applyBorder="1" applyAlignment="1">
      <alignment horizontal="center" vertical="center"/>
    </xf>
    <xf numFmtId="49" fontId="0" fillId="0" borderId="21" xfId="0" applyNumberFormat="1" applyBorder="1" applyAlignment="1">
      <alignment horizontal="center" vertical="center"/>
    </xf>
    <xf numFmtId="0" fontId="0" fillId="0" borderId="35" xfId="0" applyBorder="1" applyAlignment="1">
      <alignment horizontal="center" vertical="center"/>
    </xf>
    <xf numFmtId="0" fontId="0" fillId="0" borderId="20" xfId="0" applyBorder="1" applyAlignment="1">
      <alignment horizontal="center" vertical="center"/>
    </xf>
    <xf numFmtId="49" fontId="0" fillId="0" borderId="20" xfId="0" applyNumberFormat="1" applyBorder="1" applyAlignment="1">
      <alignment horizontal="center" vertical="center"/>
    </xf>
    <xf numFmtId="0" fontId="0" fillId="0" borderId="21" xfId="0" applyBorder="1" applyAlignment="1">
      <alignment horizontal="center" vertical="center"/>
    </xf>
    <xf numFmtId="0" fontId="0" fillId="8" borderId="13" xfId="0" applyFill="1" applyBorder="1" applyAlignment="1">
      <alignment horizontal="center" vertical="center"/>
    </xf>
    <xf numFmtId="49" fontId="0" fillId="0" borderId="24" xfId="0" applyNumberFormat="1" applyBorder="1" applyAlignment="1">
      <alignment horizontal="center" vertical="center"/>
    </xf>
    <xf numFmtId="49" fontId="0" fillId="0" borderId="30" xfId="0" applyNumberFormat="1" applyBorder="1" applyAlignment="1">
      <alignment horizontal="center" vertical="center"/>
    </xf>
    <xf numFmtId="0" fontId="0" fillId="8" borderId="20" xfId="0" applyFill="1" applyBorder="1" applyAlignment="1">
      <alignment horizontal="center" vertical="center"/>
    </xf>
    <xf numFmtId="49" fontId="36" fillId="17" borderId="6" xfId="0" applyNumberFormat="1" applyFont="1" applyFill="1" applyBorder="1" applyAlignment="1">
      <alignment horizontal="center" vertical="center"/>
    </xf>
    <xf numFmtId="49" fontId="36" fillId="17" borderId="7" xfId="0" applyNumberFormat="1" applyFont="1" applyFill="1" applyBorder="1" applyAlignment="1">
      <alignment horizontal="center" vertical="center"/>
    </xf>
    <xf numFmtId="49" fontId="36" fillId="17" borderId="8" xfId="0" applyNumberFormat="1" applyFont="1" applyFill="1" applyBorder="1" applyAlignment="1">
      <alignment horizontal="center" vertical="center"/>
    </xf>
    <xf numFmtId="0" fontId="0" fillId="17" borderId="9" xfId="0" applyFill="1" applyBorder="1" applyAlignment="1">
      <alignment horizontal="center"/>
    </xf>
    <xf numFmtId="0" fontId="37" fillId="2" borderId="22" xfId="0" applyFont="1" applyFill="1" applyBorder="1" applyAlignment="1">
      <alignment horizontal="center" vertical="center"/>
    </xf>
    <xf numFmtId="0" fontId="37" fillId="2" borderId="23" xfId="0" applyFont="1" applyFill="1" applyBorder="1" applyAlignment="1">
      <alignment horizontal="center" vertical="center"/>
    </xf>
    <xf numFmtId="0" fontId="37" fillId="2" borderId="4" xfId="0" applyFont="1" applyFill="1" applyBorder="1" applyAlignment="1">
      <alignment horizontal="center" vertical="center"/>
    </xf>
    <xf numFmtId="0" fontId="0" fillId="17" borderId="33" xfId="0" applyFill="1" applyBorder="1" applyAlignment="1">
      <alignment horizontal="center"/>
    </xf>
    <xf numFmtId="0" fontId="3" fillId="4" borderId="38" xfId="0" applyFont="1" applyFill="1" applyBorder="1" applyAlignment="1">
      <alignment horizontal="center" vertical="center"/>
    </xf>
    <xf numFmtId="0" fontId="0" fillId="8" borderId="15" xfId="0" applyFill="1" applyBorder="1" applyAlignment="1">
      <alignment horizontal="center" vertical="center"/>
    </xf>
    <xf numFmtId="49" fontId="36" fillId="17" borderId="9" xfId="0" applyNumberFormat="1" applyFont="1" applyFill="1" applyBorder="1" applyAlignment="1">
      <alignment horizontal="center" vertical="center"/>
    </xf>
    <xf numFmtId="0" fontId="37" fillId="11" borderId="1" xfId="0" applyFont="1" applyFill="1" applyBorder="1" applyAlignment="1">
      <alignment horizontal="center" vertical="center"/>
    </xf>
    <xf numFmtId="0" fontId="37" fillId="11" borderId="2" xfId="0" applyFont="1" applyFill="1" applyBorder="1" applyAlignment="1">
      <alignment horizontal="center" vertical="center"/>
    </xf>
    <xf numFmtId="0" fontId="37" fillId="11" borderId="3" xfId="0" applyFont="1" applyFill="1" applyBorder="1" applyAlignment="1">
      <alignment horizontal="center" vertical="center"/>
    </xf>
    <xf numFmtId="0" fontId="38" fillId="17" borderId="7" xfId="0" applyFont="1" applyFill="1" applyBorder="1" applyAlignment="1">
      <alignment horizontal="center" vertical="center"/>
    </xf>
    <xf numFmtId="0" fontId="0" fillId="17" borderId="33" xfId="0" applyFill="1" applyBorder="1" applyAlignment="1">
      <alignment horizontal="center" vertical="center"/>
    </xf>
    <xf numFmtId="0" fontId="37" fillId="2" borderId="1" xfId="0" applyFont="1" applyFill="1" applyBorder="1" applyAlignment="1">
      <alignment horizontal="center" vertical="center"/>
    </xf>
    <xf numFmtId="0" fontId="37" fillId="2" borderId="2" xfId="0" applyFont="1" applyFill="1" applyBorder="1" applyAlignment="1">
      <alignment horizontal="center" vertical="center"/>
    </xf>
    <xf numFmtId="0" fontId="37" fillId="2" borderId="3" xfId="0" applyFont="1" applyFill="1" applyBorder="1" applyAlignment="1">
      <alignment horizontal="center" vertical="center"/>
    </xf>
    <xf numFmtId="0" fontId="38" fillId="17" borderId="0" xfId="0" applyFont="1" applyFill="1" applyAlignment="1">
      <alignment horizontal="center" vertical="center"/>
    </xf>
    <xf numFmtId="0" fontId="37" fillId="5" borderId="22" xfId="0" applyFont="1" applyFill="1" applyBorder="1" applyAlignment="1">
      <alignment horizontal="center" vertical="center"/>
    </xf>
    <xf numFmtId="0" fontId="37" fillId="5" borderId="23" xfId="0" applyFont="1" applyFill="1" applyBorder="1" applyAlignment="1">
      <alignment horizontal="center" vertical="center"/>
    </xf>
    <xf numFmtId="0" fontId="37" fillId="5" borderId="4" xfId="0" applyFont="1" applyFill="1" applyBorder="1" applyAlignment="1">
      <alignment horizontal="center" vertical="center"/>
    </xf>
    <xf numFmtId="0" fontId="0" fillId="17" borderId="33" xfId="0" quotePrefix="1" applyFill="1" applyBorder="1" applyAlignment="1">
      <alignment horizontal="center"/>
    </xf>
    <xf numFmtId="49" fontId="34" fillId="3" borderId="22" xfId="0" applyNumberFormat="1" applyFont="1" applyFill="1" applyBorder="1" applyAlignment="1">
      <alignment horizontal="center" vertical="center"/>
    </xf>
    <xf numFmtId="49" fontId="34" fillId="3" borderId="23" xfId="0" applyNumberFormat="1" applyFont="1" applyFill="1" applyBorder="1" applyAlignment="1">
      <alignment horizontal="center" vertical="center"/>
    </xf>
    <xf numFmtId="49" fontId="34" fillId="3" borderId="4" xfId="0" applyNumberFormat="1" applyFont="1" applyFill="1" applyBorder="1" applyAlignment="1">
      <alignment horizontal="center" vertical="center"/>
    </xf>
    <xf numFmtId="49" fontId="33" fillId="17" borderId="5" xfId="0" applyNumberFormat="1" applyFont="1" applyFill="1" applyBorder="1" applyAlignment="1">
      <alignment horizontal="center" vertical="center"/>
    </xf>
    <xf numFmtId="49" fontId="33" fillId="17" borderId="12" xfId="0" applyNumberFormat="1" applyFont="1" applyFill="1" applyBorder="1" applyAlignment="1">
      <alignment horizontal="center" vertical="center"/>
    </xf>
    <xf numFmtId="49" fontId="47" fillId="17" borderId="0" xfId="0" applyNumberFormat="1" applyFont="1" applyFill="1" applyAlignment="1">
      <alignment horizontal="center" vertical="center"/>
    </xf>
    <xf numFmtId="49" fontId="46" fillId="13" borderId="22" xfId="0" applyNumberFormat="1" applyFont="1" applyFill="1" applyBorder="1" applyAlignment="1">
      <alignment horizontal="center" vertical="center"/>
    </xf>
    <xf numFmtId="49" fontId="46" fillId="13" borderId="23" xfId="0" applyNumberFormat="1" applyFont="1" applyFill="1" applyBorder="1" applyAlignment="1">
      <alignment horizontal="center" vertical="center"/>
    </xf>
    <xf numFmtId="49" fontId="46" fillId="13" borderId="4" xfId="0" applyNumberFormat="1" applyFont="1" applyFill="1" applyBorder="1" applyAlignment="1">
      <alignment horizontal="center" vertical="center"/>
    </xf>
    <xf numFmtId="49" fontId="48" fillId="17" borderId="0" xfId="0" applyNumberFormat="1" applyFont="1" applyFill="1" applyAlignment="1">
      <alignment horizontal="center" vertical="center"/>
    </xf>
    <xf numFmtId="0" fontId="35" fillId="0" borderId="22" xfId="0" applyFont="1" applyBorder="1" applyAlignment="1">
      <alignment horizontal="center" vertical="center"/>
    </xf>
    <xf numFmtId="0" fontId="35" fillId="0" borderId="23" xfId="0" applyFont="1" applyBorder="1" applyAlignment="1">
      <alignment horizontal="center" vertical="center"/>
    </xf>
    <xf numFmtId="0" fontId="35" fillId="0" borderId="4" xfId="0" applyFont="1" applyBorder="1" applyAlignment="1">
      <alignment horizontal="center" vertical="center"/>
    </xf>
    <xf numFmtId="0" fontId="2" fillId="17" borderId="23" xfId="0" applyFont="1" applyFill="1" applyBorder="1" applyAlignment="1">
      <alignment horizontal="center" vertical="center"/>
    </xf>
    <xf numFmtId="49" fontId="33" fillId="17" borderId="9" xfId="0" applyNumberFormat="1" applyFont="1" applyFill="1" applyBorder="1" applyAlignment="1">
      <alignment horizontal="center" vertical="center"/>
    </xf>
    <xf numFmtId="49" fontId="33" fillId="17" borderId="10" xfId="0" applyNumberFormat="1" applyFont="1" applyFill="1" applyBorder="1" applyAlignment="1">
      <alignment horizontal="center" vertical="center"/>
    </xf>
  </cellXfs>
  <cellStyles count="2">
    <cellStyle name="Normal" xfId="0" builtinId="0"/>
    <cellStyle name="Vírgula 2" xfId="1" xr:uid="{F148B815-FFD2-4B40-97DE-B882CA3A15FD}"/>
  </cellStyles>
  <dxfs count="0"/>
  <tableStyles count="0" defaultTableStyle="TableStyleMedium2" defaultPivotStyle="PivotStyleLight16"/>
  <colors>
    <mruColors>
      <color rgb="FFCCECFF"/>
      <color rgb="FFFFCCFF"/>
      <color rgb="FF000099"/>
      <color rgb="FFCC9900"/>
      <color rgb="FF000000"/>
      <color rgb="FF0033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14129</xdr:colOff>
      <xdr:row>1</xdr:row>
      <xdr:rowOff>105523</xdr:rowOff>
    </xdr:from>
    <xdr:to>
      <xdr:col>2</xdr:col>
      <xdr:colOff>782559</xdr:colOff>
      <xdr:row>3</xdr:row>
      <xdr:rowOff>481852</xdr:rowOff>
    </xdr:to>
    <xdr:pic>
      <xdr:nvPicPr>
        <xdr:cNvPr id="2" name="Imagem 1" descr="Logotipo&#10;&#10;Descrição gerada automaticamente">
          <a:extLst>
            <a:ext uri="{FF2B5EF4-FFF2-40B4-BE49-F238E27FC236}">
              <a16:creationId xmlns:a16="http://schemas.microsoft.com/office/drawing/2014/main" id="{37038A1A-B113-4905-A969-C5625038D82B}"/>
            </a:ext>
          </a:extLst>
        </xdr:cNvPr>
        <xdr:cNvPicPr>
          <a:picLocks noChangeAspect="1"/>
        </xdr:cNvPicPr>
      </xdr:nvPicPr>
      <xdr:blipFill>
        <a:blip xmlns:r="http://schemas.openxmlformats.org/officeDocument/2006/relationships" r:embed="rId1"/>
        <a:stretch>
          <a:fillRect/>
        </a:stretch>
      </xdr:blipFill>
      <xdr:spPr>
        <a:xfrm>
          <a:off x="128429" y="229348"/>
          <a:ext cx="1625680" cy="1633629"/>
        </a:xfrm>
        <a:prstGeom prst="rect">
          <a:avLst/>
        </a:prstGeom>
      </xdr:spPr>
    </xdr:pic>
    <xdr:clientData/>
  </xdr:twoCellAnchor>
  <xdr:twoCellAnchor editAs="oneCell">
    <xdr:from>
      <xdr:col>10</xdr:col>
      <xdr:colOff>235227</xdr:colOff>
      <xdr:row>1</xdr:row>
      <xdr:rowOff>105523</xdr:rowOff>
    </xdr:from>
    <xdr:to>
      <xdr:col>11</xdr:col>
      <xdr:colOff>947968</xdr:colOff>
      <xdr:row>3</xdr:row>
      <xdr:rowOff>481852</xdr:rowOff>
    </xdr:to>
    <xdr:pic>
      <xdr:nvPicPr>
        <xdr:cNvPr id="3" name="Imagem 2" descr="Logotipo&#10;&#10;Descrição gerada automaticamente">
          <a:extLst>
            <a:ext uri="{FF2B5EF4-FFF2-40B4-BE49-F238E27FC236}">
              <a16:creationId xmlns:a16="http://schemas.microsoft.com/office/drawing/2014/main" id="{0BA8EFEA-5379-4625-8DEA-45ABA329577E}"/>
            </a:ext>
          </a:extLst>
        </xdr:cNvPr>
        <xdr:cNvPicPr>
          <a:picLocks noChangeAspect="1"/>
        </xdr:cNvPicPr>
      </xdr:nvPicPr>
      <xdr:blipFill>
        <a:blip xmlns:r="http://schemas.openxmlformats.org/officeDocument/2006/relationships" r:embed="rId1"/>
        <a:stretch>
          <a:fillRect/>
        </a:stretch>
      </xdr:blipFill>
      <xdr:spPr>
        <a:xfrm>
          <a:off x="11008002" y="229348"/>
          <a:ext cx="1627141" cy="1633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105505</xdr:colOff>
      <xdr:row>1</xdr:row>
      <xdr:rowOff>28575</xdr:rowOff>
    </xdr:from>
    <xdr:to>
      <xdr:col>2</xdr:col>
      <xdr:colOff>441810</xdr:colOff>
      <xdr:row>1</xdr:row>
      <xdr:rowOff>857250</xdr:rowOff>
    </xdr:to>
    <xdr:pic>
      <xdr:nvPicPr>
        <xdr:cNvPr id="2" name="Imagem 1" descr="Logotipo&#10;&#10;Descrição gerada automaticamente">
          <a:extLst>
            <a:ext uri="{FF2B5EF4-FFF2-40B4-BE49-F238E27FC236}">
              <a16:creationId xmlns:a16="http://schemas.microsoft.com/office/drawing/2014/main" id="{34E5E70F-BDEA-4058-B269-2FCED5F7B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805" y="152400"/>
          <a:ext cx="764930" cy="828675"/>
        </a:xfrm>
        <a:prstGeom prst="rect">
          <a:avLst/>
        </a:prstGeom>
        <a:solidFill>
          <a:sysClr val="window" lastClr="FFFFFF"/>
        </a:solidFill>
      </xdr:spPr>
    </xdr:pic>
    <xdr:clientData/>
  </xdr:twoCellAnchor>
  <xdr:twoCellAnchor editAs="oneCell">
    <xdr:from>
      <xdr:col>7</xdr:col>
      <xdr:colOff>1954476</xdr:colOff>
      <xdr:row>1</xdr:row>
      <xdr:rowOff>28575</xdr:rowOff>
    </xdr:from>
    <xdr:to>
      <xdr:col>7</xdr:col>
      <xdr:colOff>2716604</xdr:colOff>
      <xdr:row>1</xdr:row>
      <xdr:rowOff>857250</xdr:rowOff>
    </xdr:to>
    <xdr:pic>
      <xdr:nvPicPr>
        <xdr:cNvPr id="4" name="Imagem 3" descr="Logotipo&#10;&#10;Descrição gerada automaticamente">
          <a:extLst>
            <a:ext uri="{FF2B5EF4-FFF2-40B4-BE49-F238E27FC236}">
              <a16:creationId xmlns:a16="http://schemas.microsoft.com/office/drawing/2014/main" id="{92F225F6-1F0C-2296-4613-2A4557EF35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87270" y="151840"/>
          <a:ext cx="762128" cy="828675"/>
        </a:xfrm>
        <a:prstGeom prst="rect">
          <a:avLst/>
        </a:prstGeom>
        <a:solidFill>
          <a:sysClr val="window" lastClr="FFFFFF"/>
        </a:solid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107887</xdr:colOff>
      <xdr:row>1</xdr:row>
      <xdr:rowOff>78580</xdr:rowOff>
    </xdr:from>
    <xdr:to>
      <xdr:col>1</xdr:col>
      <xdr:colOff>657606</xdr:colOff>
      <xdr:row>1</xdr:row>
      <xdr:rowOff>676275</xdr:rowOff>
    </xdr:to>
    <xdr:pic>
      <xdr:nvPicPr>
        <xdr:cNvPr id="2" name="Imagem 1">
          <a:extLst>
            <a:ext uri="{FF2B5EF4-FFF2-40B4-BE49-F238E27FC236}">
              <a16:creationId xmlns:a16="http://schemas.microsoft.com/office/drawing/2014/main" id="{3CEDCA54-5BC1-4DD1-ADA9-77F1FFDE89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187" y="202405"/>
          <a:ext cx="549719" cy="597695"/>
        </a:xfrm>
        <a:prstGeom prst="rect">
          <a:avLst/>
        </a:prstGeom>
        <a:solidFill>
          <a:sysClr val="window" lastClr="FFFFFF"/>
        </a:solidFill>
      </xdr:spPr>
    </xdr:pic>
    <xdr:clientData/>
  </xdr:twoCellAnchor>
  <xdr:twoCellAnchor editAs="oneCell">
    <xdr:from>
      <xdr:col>10</xdr:col>
      <xdr:colOff>2461923</xdr:colOff>
      <xdr:row>1</xdr:row>
      <xdr:rowOff>78580</xdr:rowOff>
    </xdr:from>
    <xdr:to>
      <xdr:col>11</xdr:col>
      <xdr:colOff>290213</xdr:colOff>
      <xdr:row>1</xdr:row>
      <xdr:rowOff>676275</xdr:rowOff>
    </xdr:to>
    <xdr:pic>
      <xdr:nvPicPr>
        <xdr:cNvPr id="4" name="Imagem 3">
          <a:extLst>
            <a:ext uri="{FF2B5EF4-FFF2-40B4-BE49-F238E27FC236}">
              <a16:creationId xmlns:a16="http://schemas.microsoft.com/office/drawing/2014/main" id="{4995AD96-9554-0037-C22C-833FD669ED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56887" y="201044"/>
          <a:ext cx="549719" cy="597695"/>
        </a:xfrm>
        <a:prstGeom prst="rect">
          <a:avLst/>
        </a:prstGeom>
        <a:solidFill>
          <a:sysClr val="window" lastClr="FFFFFF"/>
        </a:solid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94090</xdr:colOff>
      <xdr:row>1</xdr:row>
      <xdr:rowOff>77881</xdr:rowOff>
    </xdr:from>
    <xdr:to>
      <xdr:col>2</xdr:col>
      <xdr:colOff>66980</xdr:colOff>
      <xdr:row>1</xdr:row>
      <xdr:rowOff>677956</xdr:rowOff>
    </xdr:to>
    <xdr:pic>
      <xdr:nvPicPr>
        <xdr:cNvPr id="2" name="Imagem 1" descr="Logotipo&#10;&#10;Descrição gerada automaticamente">
          <a:extLst>
            <a:ext uri="{FF2B5EF4-FFF2-40B4-BE49-F238E27FC236}">
              <a16:creationId xmlns:a16="http://schemas.microsoft.com/office/drawing/2014/main" id="{CD959BE0-CCEF-48CF-8B9B-D9D31185D6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390" y="201706"/>
          <a:ext cx="553915" cy="600075"/>
        </a:xfrm>
        <a:prstGeom prst="rect">
          <a:avLst/>
        </a:prstGeom>
        <a:solidFill>
          <a:sysClr val="window" lastClr="FFFFFF"/>
        </a:solidFill>
      </xdr:spPr>
    </xdr:pic>
    <xdr:clientData/>
  </xdr:twoCellAnchor>
  <xdr:twoCellAnchor editAs="oneCell">
    <xdr:from>
      <xdr:col>10</xdr:col>
      <xdr:colOff>2751565</xdr:colOff>
      <xdr:row>1</xdr:row>
      <xdr:rowOff>77881</xdr:rowOff>
    </xdr:from>
    <xdr:to>
      <xdr:col>11</xdr:col>
      <xdr:colOff>505130</xdr:colOff>
      <xdr:row>1</xdr:row>
      <xdr:rowOff>677956</xdr:rowOff>
    </xdr:to>
    <xdr:pic>
      <xdr:nvPicPr>
        <xdr:cNvPr id="4" name="Imagem 3" descr="Logotipo&#10;&#10;Descrição gerada automaticamente">
          <a:extLst>
            <a:ext uri="{FF2B5EF4-FFF2-40B4-BE49-F238E27FC236}">
              <a16:creationId xmlns:a16="http://schemas.microsoft.com/office/drawing/2014/main" id="{42174033-F3FF-3D04-A56A-2C74DBA5B3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47765" y="201706"/>
          <a:ext cx="553915" cy="600075"/>
        </a:xfrm>
        <a:prstGeom prst="rect">
          <a:avLst/>
        </a:prstGeom>
        <a:solidFill>
          <a:sysClr val="window" lastClr="FFFFFF"/>
        </a:solid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43483</xdr:colOff>
      <xdr:row>1</xdr:row>
      <xdr:rowOff>24847</xdr:rowOff>
    </xdr:from>
    <xdr:to>
      <xdr:col>1</xdr:col>
      <xdr:colOff>703044</xdr:colOff>
      <xdr:row>1</xdr:row>
      <xdr:rowOff>738025</xdr:rowOff>
    </xdr:to>
    <xdr:pic>
      <xdr:nvPicPr>
        <xdr:cNvPr id="2" name="Imagem 1" descr="Logotipo&#10;&#10;Descrição gerada automaticamente">
          <a:extLst>
            <a:ext uri="{FF2B5EF4-FFF2-40B4-BE49-F238E27FC236}">
              <a16:creationId xmlns:a16="http://schemas.microsoft.com/office/drawing/2014/main" id="{9E0CD5FC-B03B-4703-A9FE-BBFB53EA0B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783" y="148672"/>
          <a:ext cx="659561" cy="713178"/>
        </a:xfrm>
        <a:prstGeom prst="rect">
          <a:avLst/>
        </a:prstGeom>
        <a:solidFill>
          <a:sysClr val="window" lastClr="FFFFFF"/>
        </a:solidFill>
      </xdr:spPr>
    </xdr:pic>
    <xdr:clientData/>
  </xdr:twoCellAnchor>
  <xdr:twoCellAnchor editAs="oneCell">
    <xdr:from>
      <xdr:col>14</xdr:col>
      <xdr:colOff>458101</xdr:colOff>
      <xdr:row>1</xdr:row>
      <xdr:rowOff>24847</xdr:rowOff>
    </xdr:from>
    <xdr:to>
      <xdr:col>15</xdr:col>
      <xdr:colOff>534956</xdr:colOff>
      <xdr:row>1</xdr:row>
      <xdr:rowOff>738025</xdr:rowOff>
    </xdr:to>
    <xdr:pic>
      <xdr:nvPicPr>
        <xdr:cNvPr id="4" name="Imagem 3" descr="Logotipo&#10;&#10;Descrição gerada automaticamente">
          <a:extLst>
            <a:ext uri="{FF2B5EF4-FFF2-40B4-BE49-F238E27FC236}">
              <a16:creationId xmlns:a16="http://schemas.microsoft.com/office/drawing/2014/main" id="{9FA4590C-F8E9-7FD2-EBC5-D255AA108B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76895" y="148112"/>
          <a:ext cx="659561" cy="713178"/>
        </a:xfrm>
        <a:prstGeom prst="rect">
          <a:avLst/>
        </a:prstGeom>
        <a:solidFill>
          <a:sysClr val="window" lastClr="FFFFFF"/>
        </a:solidFill>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4FBF-A33A-4087-8461-48E773BA9B88}">
  <sheetPr>
    <pageSetUpPr fitToPage="1"/>
  </sheetPr>
  <dimension ref="A1:M55"/>
  <sheetViews>
    <sheetView tabSelected="1" zoomScaleNormal="100" workbookViewId="0">
      <selection activeCell="M2" sqref="A1:M54"/>
    </sheetView>
  </sheetViews>
  <sheetFormatPr defaultRowHeight="15" x14ac:dyDescent="0.25"/>
  <cols>
    <col min="1" max="1" width="1.7109375" customWidth="1"/>
    <col min="2" max="2" width="12.85546875" customWidth="1"/>
    <col min="3" max="3" width="22.5703125" customWidth="1"/>
    <col min="4" max="4" width="38.85546875" bestFit="1" customWidth="1"/>
    <col min="5" max="5" width="25.42578125" bestFit="1" customWidth="1"/>
    <col min="6" max="6" width="5.28515625" bestFit="1" customWidth="1"/>
    <col min="7" max="11" width="13.7109375" customWidth="1"/>
    <col min="12" max="12" width="14.7109375" customWidth="1"/>
    <col min="13" max="13" width="1.7109375" customWidth="1"/>
    <col min="14" max="14" width="5.7109375" customWidth="1"/>
    <col min="16" max="16" width="39.5703125" customWidth="1"/>
  </cols>
  <sheetData>
    <row r="1" spans="1:13" ht="9.9499999999999993" customHeight="1" thickTop="1" thickBot="1" x14ac:dyDescent="0.3">
      <c r="A1" s="161"/>
      <c r="B1" s="162"/>
      <c r="C1" s="162"/>
      <c r="D1" s="162"/>
      <c r="E1" s="162"/>
      <c r="F1" s="162"/>
      <c r="G1" s="162"/>
      <c r="H1" s="162"/>
      <c r="I1" s="162"/>
      <c r="J1" s="162"/>
      <c r="K1" s="162"/>
      <c r="L1" s="162"/>
      <c r="M1" s="163"/>
    </row>
    <row r="2" spans="1:13" ht="50.1" customHeight="1" thickTop="1" thickBot="1" x14ac:dyDescent="0.3">
      <c r="A2" s="164"/>
      <c r="B2" s="167" t="s">
        <v>76</v>
      </c>
      <c r="C2" s="167"/>
      <c r="D2" s="167"/>
      <c r="E2" s="167"/>
      <c r="F2" s="167"/>
      <c r="G2" s="167"/>
      <c r="H2" s="167"/>
      <c r="I2" s="167"/>
      <c r="J2" s="167"/>
      <c r="K2" s="167"/>
      <c r="L2" s="167"/>
      <c r="M2" s="164"/>
    </row>
    <row r="3" spans="1:13" ht="50.1" customHeight="1" thickTop="1" thickBot="1" x14ac:dyDescent="0.3">
      <c r="A3" s="165"/>
      <c r="B3" s="168" t="s">
        <v>156</v>
      </c>
      <c r="C3" s="168"/>
      <c r="D3" s="168"/>
      <c r="E3" s="168"/>
      <c r="F3" s="168"/>
      <c r="G3" s="168"/>
      <c r="H3" s="168"/>
      <c r="I3" s="168"/>
      <c r="J3" s="168"/>
      <c r="K3" s="168"/>
      <c r="L3" s="168"/>
      <c r="M3" s="165"/>
    </row>
    <row r="4" spans="1:13" ht="50.1" customHeight="1" thickTop="1" thickBot="1" x14ac:dyDescent="0.3">
      <c r="A4" s="165"/>
      <c r="B4" s="167" t="s">
        <v>82</v>
      </c>
      <c r="C4" s="167"/>
      <c r="D4" s="167"/>
      <c r="E4" s="167"/>
      <c r="F4" s="167"/>
      <c r="G4" s="167"/>
      <c r="H4" s="167"/>
      <c r="I4" s="167"/>
      <c r="J4" s="167"/>
      <c r="K4" s="167"/>
      <c r="L4" s="167"/>
      <c r="M4" s="165"/>
    </row>
    <row r="5" spans="1:13" ht="30" customHeight="1" thickTop="1" thickBot="1" x14ac:dyDescent="0.3">
      <c r="A5" s="165"/>
      <c r="B5" s="169" t="s">
        <v>157</v>
      </c>
      <c r="C5" s="169" t="s">
        <v>83</v>
      </c>
      <c r="D5" s="169" t="s">
        <v>158</v>
      </c>
      <c r="E5" s="131" t="s">
        <v>159</v>
      </c>
      <c r="F5" s="170" t="s">
        <v>84</v>
      </c>
      <c r="G5" s="130" t="s">
        <v>85</v>
      </c>
      <c r="H5" s="130" t="s">
        <v>149</v>
      </c>
      <c r="I5" s="130" t="s">
        <v>150</v>
      </c>
      <c r="J5" s="130" t="s">
        <v>98</v>
      </c>
      <c r="K5" s="130" t="s">
        <v>153</v>
      </c>
      <c r="L5" s="169" t="s">
        <v>86</v>
      </c>
      <c r="M5" s="165"/>
    </row>
    <row r="6" spans="1:13" ht="37.5" customHeight="1" thickTop="1" thickBot="1" x14ac:dyDescent="0.3">
      <c r="A6" s="165"/>
      <c r="B6" s="169"/>
      <c r="C6" s="169"/>
      <c r="D6" s="169"/>
      <c r="E6" s="132" t="s">
        <v>160</v>
      </c>
      <c r="F6" s="171"/>
      <c r="G6" s="130" t="s">
        <v>87</v>
      </c>
      <c r="H6" s="130" t="s">
        <v>80</v>
      </c>
      <c r="I6" s="130" t="s">
        <v>97</v>
      </c>
      <c r="J6" s="130" t="s">
        <v>99</v>
      </c>
      <c r="K6" s="130" t="s">
        <v>80</v>
      </c>
      <c r="L6" s="169"/>
      <c r="M6" s="165"/>
    </row>
    <row r="7" spans="1:13" ht="28.5" customHeight="1" thickTop="1" thickBot="1" x14ac:dyDescent="0.3">
      <c r="A7" s="165"/>
      <c r="B7" s="133">
        <v>1</v>
      </c>
      <c r="C7" s="134" t="s">
        <v>179</v>
      </c>
      <c r="D7" s="134" t="s">
        <v>180</v>
      </c>
      <c r="E7" s="133" t="s">
        <v>89</v>
      </c>
      <c r="F7" s="133" t="s">
        <v>88</v>
      </c>
      <c r="G7" s="133">
        <v>160</v>
      </c>
      <c r="H7" s="133">
        <v>180</v>
      </c>
      <c r="I7" s="133">
        <v>160</v>
      </c>
      <c r="J7" s="133">
        <v>0</v>
      </c>
      <c r="K7" s="133">
        <v>200</v>
      </c>
      <c r="L7" s="135">
        <f>SUM(G7:K7)</f>
        <v>700</v>
      </c>
      <c r="M7" s="165"/>
    </row>
    <row r="8" spans="1:13" ht="28.5" customHeight="1" thickTop="1" thickBot="1" x14ac:dyDescent="0.3">
      <c r="A8" s="165"/>
      <c r="B8" s="136">
        <v>2</v>
      </c>
      <c r="C8" s="137" t="s">
        <v>167</v>
      </c>
      <c r="D8" s="137" t="s">
        <v>168</v>
      </c>
      <c r="E8" s="136" t="s">
        <v>169</v>
      </c>
      <c r="F8" s="136" t="s">
        <v>90</v>
      </c>
      <c r="G8" s="136">
        <v>180</v>
      </c>
      <c r="H8" s="136">
        <v>200</v>
      </c>
      <c r="I8" s="136">
        <v>0</v>
      </c>
      <c r="J8" s="136">
        <v>180</v>
      </c>
      <c r="K8" s="136">
        <v>120</v>
      </c>
      <c r="L8" s="138">
        <f>SUM(G8:K8)</f>
        <v>680</v>
      </c>
      <c r="M8" s="165"/>
    </row>
    <row r="9" spans="1:13" ht="28.5" customHeight="1" thickTop="1" thickBot="1" x14ac:dyDescent="0.3">
      <c r="A9" s="165"/>
      <c r="B9" s="133">
        <v>3</v>
      </c>
      <c r="C9" s="134" t="s">
        <v>161</v>
      </c>
      <c r="D9" s="134" t="s">
        <v>162</v>
      </c>
      <c r="E9" s="133" t="s">
        <v>163</v>
      </c>
      <c r="F9" s="133" t="s">
        <v>88</v>
      </c>
      <c r="G9" s="133">
        <v>200</v>
      </c>
      <c r="H9" s="133">
        <v>160</v>
      </c>
      <c r="I9" s="133">
        <v>120</v>
      </c>
      <c r="J9" s="133">
        <v>180</v>
      </c>
      <c r="K9" s="133">
        <v>0</v>
      </c>
      <c r="L9" s="135">
        <f>SUM(G9:K9)</f>
        <v>660</v>
      </c>
      <c r="M9" s="165"/>
    </row>
    <row r="10" spans="1:13" ht="28.5" customHeight="1" thickTop="1" thickBot="1" x14ac:dyDescent="0.3">
      <c r="A10" s="165"/>
      <c r="B10" s="136">
        <v>4</v>
      </c>
      <c r="C10" s="137" t="s">
        <v>181</v>
      </c>
      <c r="D10" s="137" t="s">
        <v>182</v>
      </c>
      <c r="E10" s="136" t="s">
        <v>89</v>
      </c>
      <c r="F10" s="136" t="s">
        <v>88</v>
      </c>
      <c r="G10" s="136">
        <v>100</v>
      </c>
      <c r="H10" s="136">
        <v>140</v>
      </c>
      <c r="I10" s="136">
        <v>120</v>
      </c>
      <c r="J10" s="136">
        <v>140</v>
      </c>
      <c r="K10" s="136">
        <v>160</v>
      </c>
      <c r="L10" s="138">
        <f>SUM(G10:K10)</f>
        <v>660</v>
      </c>
      <c r="M10" s="165"/>
    </row>
    <row r="11" spans="1:13" ht="28.5" customHeight="1" thickTop="1" thickBot="1" x14ac:dyDescent="0.3">
      <c r="A11" s="165"/>
      <c r="B11" s="155">
        <v>5</v>
      </c>
      <c r="C11" s="134" t="s">
        <v>173</v>
      </c>
      <c r="D11" s="134" t="s">
        <v>174</v>
      </c>
      <c r="E11" s="133" t="s">
        <v>166</v>
      </c>
      <c r="F11" s="133" t="s">
        <v>88</v>
      </c>
      <c r="G11" s="133">
        <v>120</v>
      </c>
      <c r="H11" s="133">
        <v>120</v>
      </c>
      <c r="I11" s="133">
        <v>120</v>
      </c>
      <c r="J11" s="133">
        <v>160</v>
      </c>
      <c r="K11" s="133">
        <v>120</v>
      </c>
      <c r="L11" s="135">
        <f>SUM(G11:K11)</f>
        <v>640</v>
      </c>
      <c r="M11" s="165"/>
    </row>
    <row r="12" spans="1:13" ht="28.5" customHeight="1" thickTop="1" thickBot="1" x14ac:dyDescent="0.3">
      <c r="A12" s="165"/>
      <c r="B12" s="157"/>
      <c r="C12" s="134" t="s">
        <v>175</v>
      </c>
      <c r="D12" s="134" t="s">
        <v>176</v>
      </c>
      <c r="E12" s="133" t="s">
        <v>96</v>
      </c>
      <c r="F12" s="133" t="s">
        <v>88</v>
      </c>
      <c r="G12" s="133">
        <v>120</v>
      </c>
      <c r="H12" s="133">
        <v>120</v>
      </c>
      <c r="I12" s="133">
        <v>120</v>
      </c>
      <c r="J12" s="133">
        <v>160</v>
      </c>
      <c r="K12" s="133">
        <v>120</v>
      </c>
      <c r="L12" s="135">
        <f>SUM(G12:K12)</f>
        <v>640</v>
      </c>
      <c r="M12" s="165"/>
    </row>
    <row r="13" spans="1:13" ht="28.5" customHeight="1" thickTop="1" thickBot="1" x14ac:dyDescent="0.3">
      <c r="A13" s="165"/>
      <c r="B13" s="136">
        <v>6</v>
      </c>
      <c r="C13" s="137" t="s">
        <v>183</v>
      </c>
      <c r="D13" s="137" t="s">
        <v>184</v>
      </c>
      <c r="E13" s="136" t="s">
        <v>169</v>
      </c>
      <c r="F13" s="136" t="s">
        <v>88</v>
      </c>
      <c r="G13" s="136">
        <v>140</v>
      </c>
      <c r="H13" s="136">
        <v>120</v>
      </c>
      <c r="I13" s="136">
        <v>120</v>
      </c>
      <c r="J13" s="136">
        <v>120</v>
      </c>
      <c r="K13" s="136">
        <v>140</v>
      </c>
      <c r="L13" s="138">
        <f>SUM(G13:K13)</f>
        <v>640</v>
      </c>
      <c r="M13" s="165"/>
    </row>
    <row r="14" spans="1:13" ht="28.5" customHeight="1" thickTop="1" thickBot="1" x14ac:dyDescent="0.3">
      <c r="A14" s="165"/>
      <c r="B14" s="155">
        <v>7</v>
      </c>
      <c r="C14" s="134" t="s">
        <v>170</v>
      </c>
      <c r="D14" s="134" t="s">
        <v>171</v>
      </c>
      <c r="E14" s="133" t="s">
        <v>172</v>
      </c>
      <c r="F14" s="133" t="s">
        <v>88</v>
      </c>
      <c r="G14" s="133">
        <v>120</v>
      </c>
      <c r="H14" s="133">
        <v>0</v>
      </c>
      <c r="I14" s="133">
        <v>200</v>
      </c>
      <c r="J14" s="133">
        <v>200</v>
      </c>
      <c r="K14" s="133">
        <v>100</v>
      </c>
      <c r="L14" s="135">
        <f>SUM(G14:K14)</f>
        <v>620</v>
      </c>
      <c r="M14" s="165"/>
    </row>
    <row r="15" spans="1:13" ht="28.5" customHeight="1" thickTop="1" thickBot="1" x14ac:dyDescent="0.3">
      <c r="A15" s="165"/>
      <c r="B15" s="157">
        <v>8</v>
      </c>
      <c r="C15" s="134" t="s">
        <v>164</v>
      </c>
      <c r="D15" s="134" t="s">
        <v>165</v>
      </c>
      <c r="E15" s="133" t="s">
        <v>166</v>
      </c>
      <c r="F15" s="133" t="s">
        <v>88</v>
      </c>
      <c r="G15" s="133">
        <v>120</v>
      </c>
      <c r="H15" s="133">
        <v>100</v>
      </c>
      <c r="I15" s="133">
        <v>200</v>
      </c>
      <c r="J15" s="133">
        <v>200</v>
      </c>
      <c r="K15" s="133">
        <v>0</v>
      </c>
      <c r="L15" s="135">
        <f>SUM(G15:K15)</f>
        <v>620</v>
      </c>
      <c r="M15" s="165"/>
    </row>
    <row r="16" spans="1:13" ht="28.5" customHeight="1" thickTop="1" thickBot="1" x14ac:dyDescent="0.3">
      <c r="A16" s="165"/>
      <c r="B16" s="136">
        <v>8</v>
      </c>
      <c r="C16" s="137" t="s">
        <v>177</v>
      </c>
      <c r="D16" s="137" t="s">
        <v>178</v>
      </c>
      <c r="E16" s="136" t="s">
        <v>169</v>
      </c>
      <c r="F16" s="136" t="s">
        <v>88</v>
      </c>
      <c r="G16" s="136">
        <v>180</v>
      </c>
      <c r="H16" s="136">
        <v>200</v>
      </c>
      <c r="I16" s="136">
        <v>120</v>
      </c>
      <c r="J16" s="136">
        <v>0</v>
      </c>
      <c r="K16" s="136">
        <v>120</v>
      </c>
      <c r="L16" s="138">
        <f>SUM(G16:K16)</f>
        <v>620</v>
      </c>
      <c r="M16" s="165"/>
    </row>
    <row r="17" spans="1:13" ht="28.5" customHeight="1" thickTop="1" thickBot="1" x14ac:dyDescent="0.3">
      <c r="A17" s="165"/>
      <c r="B17" s="133">
        <v>9</v>
      </c>
      <c r="C17" s="134" t="s">
        <v>188</v>
      </c>
      <c r="D17" s="134" t="s">
        <v>189</v>
      </c>
      <c r="E17" s="133" t="s">
        <v>190</v>
      </c>
      <c r="F17" s="133" t="s">
        <v>88</v>
      </c>
      <c r="G17" s="133">
        <v>120</v>
      </c>
      <c r="H17" s="133">
        <v>100</v>
      </c>
      <c r="I17" s="133">
        <v>180</v>
      </c>
      <c r="J17" s="133">
        <v>0</v>
      </c>
      <c r="K17" s="133">
        <v>180</v>
      </c>
      <c r="L17" s="135">
        <f>SUM(G17:K17)</f>
        <v>580</v>
      </c>
      <c r="M17" s="165"/>
    </row>
    <row r="18" spans="1:13" ht="28.5" customHeight="1" thickTop="1" thickBot="1" x14ac:dyDescent="0.3">
      <c r="A18" s="165"/>
      <c r="B18" s="136">
        <v>10</v>
      </c>
      <c r="C18" s="137" t="s">
        <v>192</v>
      </c>
      <c r="D18" s="137" t="s">
        <v>193</v>
      </c>
      <c r="E18" s="136" t="s">
        <v>89</v>
      </c>
      <c r="F18" s="136" t="s">
        <v>88</v>
      </c>
      <c r="G18" s="136">
        <v>0</v>
      </c>
      <c r="H18" s="136">
        <v>180</v>
      </c>
      <c r="I18" s="136">
        <v>160</v>
      </c>
      <c r="J18" s="136">
        <v>0</v>
      </c>
      <c r="K18" s="136">
        <v>200</v>
      </c>
      <c r="L18" s="138">
        <f>SUM(G18:K18)</f>
        <v>540</v>
      </c>
      <c r="M18" s="165"/>
    </row>
    <row r="19" spans="1:13" ht="28.5" customHeight="1" thickTop="1" thickBot="1" x14ac:dyDescent="0.3">
      <c r="A19" s="165"/>
      <c r="B19" s="133">
        <v>11</v>
      </c>
      <c r="C19" s="134" t="s">
        <v>185</v>
      </c>
      <c r="D19" s="134" t="s">
        <v>186</v>
      </c>
      <c r="E19" s="133" t="s">
        <v>187</v>
      </c>
      <c r="F19" s="133" t="s">
        <v>88</v>
      </c>
      <c r="G19" s="133">
        <v>200</v>
      </c>
      <c r="H19" s="133">
        <v>160</v>
      </c>
      <c r="I19" s="133">
        <v>120</v>
      </c>
      <c r="J19" s="133">
        <v>0</v>
      </c>
      <c r="K19" s="133">
        <v>0</v>
      </c>
      <c r="L19" s="135">
        <f>SUM(G19:K19)</f>
        <v>480</v>
      </c>
      <c r="M19" s="165"/>
    </row>
    <row r="20" spans="1:13" ht="28.5" customHeight="1" thickTop="1" thickBot="1" x14ac:dyDescent="0.3">
      <c r="A20" s="165"/>
      <c r="B20" s="136">
        <v>12</v>
      </c>
      <c r="C20" s="137" t="s">
        <v>191</v>
      </c>
      <c r="D20" s="137" t="s">
        <v>313</v>
      </c>
      <c r="E20" s="136" t="s">
        <v>166</v>
      </c>
      <c r="F20" s="136" t="s">
        <v>88</v>
      </c>
      <c r="G20" s="136">
        <v>100</v>
      </c>
      <c r="H20" s="136">
        <v>0</v>
      </c>
      <c r="I20" s="136">
        <v>120</v>
      </c>
      <c r="J20" s="136">
        <v>140</v>
      </c>
      <c r="K20" s="136">
        <v>100</v>
      </c>
      <c r="L20" s="138">
        <f>SUM(G20:K20)</f>
        <v>460</v>
      </c>
      <c r="M20" s="165"/>
    </row>
    <row r="21" spans="1:13" ht="28.5" customHeight="1" thickTop="1" thickBot="1" x14ac:dyDescent="0.3">
      <c r="A21" s="165"/>
      <c r="B21" s="133">
        <v>13</v>
      </c>
      <c r="C21" s="134" t="s">
        <v>194</v>
      </c>
      <c r="D21" s="134" t="s">
        <v>195</v>
      </c>
      <c r="E21" s="133" t="s">
        <v>196</v>
      </c>
      <c r="F21" s="133" t="s">
        <v>88</v>
      </c>
      <c r="G21" s="133">
        <v>120</v>
      </c>
      <c r="H21" s="133">
        <v>120</v>
      </c>
      <c r="I21" s="133">
        <v>100</v>
      </c>
      <c r="J21" s="133">
        <v>0</v>
      </c>
      <c r="K21" s="133">
        <v>120</v>
      </c>
      <c r="L21" s="135">
        <f>SUM(G21:K21)</f>
        <v>460</v>
      </c>
      <c r="M21" s="165"/>
    </row>
    <row r="22" spans="1:13" ht="28.5" customHeight="1" thickTop="1" thickBot="1" x14ac:dyDescent="0.3">
      <c r="A22" s="165"/>
      <c r="B22" s="150">
        <v>14</v>
      </c>
      <c r="C22" s="137" t="s">
        <v>200</v>
      </c>
      <c r="D22" s="137" t="s">
        <v>201</v>
      </c>
      <c r="E22" s="136" t="s">
        <v>87</v>
      </c>
      <c r="F22" s="136" t="s">
        <v>88</v>
      </c>
      <c r="G22" s="136">
        <v>0</v>
      </c>
      <c r="H22" s="136">
        <v>100</v>
      </c>
      <c r="I22" s="136">
        <v>180</v>
      </c>
      <c r="J22" s="136">
        <v>0</v>
      </c>
      <c r="K22" s="136">
        <v>140</v>
      </c>
      <c r="L22" s="138">
        <f>SUM(G22:K22)</f>
        <v>420</v>
      </c>
      <c r="M22" s="165"/>
    </row>
    <row r="23" spans="1:13" ht="28.5" customHeight="1" thickTop="1" thickBot="1" x14ac:dyDescent="0.3">
      <c r="A23" s="165"/>
      <c r="B23" s="155">
        <v>15</v>
      </c>
      <c r="C23" s="134" t="s">
        <v>197</v>
      </c>
      <c r="D23" s="134" t="s">
        <v>198</v>
      </c>
      <c r="E23" s="133" t="s">
        <v>199</v>
      </c>
      <c r="F23" s="133" t="s">
        <v>88</v>
      </c>
      <c r="G23" s="133">
        <v>100</v>
      </c>
      <c r="H23" s="133">
        <v>0</v>
      </c>
      <c r="I23" s="133">
        <v>120</v>
      </c>
      <c r="J23" s="133">
        <v>120</v>
      </c>
      <c r="K23" s="133">
        <v>0</v>
      </c>
      <c r="L23" s="135">
        <f>SUM(G23:K23)</f>
        <v>340</v>
      </c>
      <c r="M23" s="165"/>
    </row>
    <row r="24" spans="1:13" ht="28.5" customHeight="1" thickTop="1" thickBot="1" x14ac:dyDescent="0.3">
      <c r="A24" s="165"/>
      <c r="B24" s="156"/>
      <c r="C24" s="134" t="s">
        <v>211</v>
      </c>
      <c r="D24" s="134" t="s">
        <v>212</v>
      </c>
      <c r="E24" s="133" t="s">
        <v>87</v>
      </c>
      <c r="F24" s="133" t="s">
        <v>88</v>
      </c>
      <c r="G24" s="133">
        <v>100</v>
      </c>
      <c r="H24" s="133">
        <v>120</v>
      </c>
      <c r="I24" s="133">
        <v>0</v>
      </c>
      <c r="J24" s="133">
        <v>0</v>
      </c>
      <c r="K24" s="133">
        <v>120</v>
      </c>
      <c r="L24" s="135">
        <f>SUM(G24:K24)</f>
        <v>340</v>
      </c>
      <c r="M24" s="165"/>
    </row>
    <row r="25" spans="1:13" ht="28.5" customHeight="1" thickTop="1" thickBot="1" x14ac:dyDescent="0.3">
      <c r="A25" s="165"/>
      <c r="B25" s="157"/>
      <c r="C25" s="134" t="s">
        <v>217</v>
      </c>
      <c r="D25" s="134" t="s">
        <v>218</v>
      </c>
      <c r="E25" s="133" t="s">
        <v>163</v>
      </c>
      <c r="F25" s="133" t="s">
        <v>88</v>
      </c>
      <c r="G25" s="133">
        <v>120</v>
      </c>
      <c r="H25" s="133">
        <v>0</v>
      </c>
      <c r="I25" s="133">
        <v>100</v>
      </c>
      <c r="J25" s="133">
        <v>0</v>
      </c>
      <c r="K25" s="133">
        <v>120</v>
      </c>
      <c r="L25" s="135">
        <f>SUM(G25:K25)</f>
        <v>340</v>
      </c>
      <c r="M25" s="165"/>
    </row>
    <row r="26" spans="1:13" ht="28.5" customHeight="1" thickTop="1" thickBot="1" x14ac:dyDescent="0.3">
      <c r="A26" s="165"/>
      <c r="B26" s="158">
        <v>16</v>
      </c>
      <c r="C26" s="137" t="s">
        <v>207</v>
      </c>
      <c r="D26" s="137" t="s">
        <v>208</v>
      </c>
      <c r="E26" s="136" t="s">
        <v>87</v>
      </c>
      <c r="F26" s="136" t="s">
        <v>88</v>
      </c>
      <c r="G26" s="136">
        <v>0</v>
      </c>
      <c r="H26" s="136">
        <v>100</v>
      </c>
      <c r="I26" s="136">
        <v>0</v>
      </c>
      <c r="J26" s="136">
        <v>120</v>
      </c>
      <c r="K26" s="136">
        <v>100</v>
      </c>
      <c r="L26" s="138">
        <f>SUM(G26:K26)</f>
        <v>320</v>
      </c>
      <c r="M26" s="165"/>
    </row>
    <row r="27" spans="1:13" ht="28.5" customHeight="1" thickTop="1" thickBot="1" x14ac:dyDescent="0.3">
      <c r="A27" s="165"/>
      <c r="B27" s="160"/>
      <c r="C27" s="137" t="s">
        <v>209</v>
      </c>
      <c r="D27" s="137" t="s">
        <v>210</v>
      </c>
      <c r="E27" s="136" t="s">
        <v>87</v>
      </c>
      <c r="F27" s="136" t="s">
        <v>88</v>
      </c>
      <c r="G27" s="136">
        <v>100</v>
      </c>
      <c r="H27" s="136">
        <v>0</v>
      </c>
      <c r="I27" s="136">
        <v>0</v>
      </c>
      <c r="J27" s="136">
        <v>120</v>
      </c>
      <c r="K27" s="136">
        <v>100</v>
      </c>
      <c r="L27" s="138">
        <f>SUM(G27:K27)</f>
        <v>320</v>
      </c>
      <c r="M27" s="165"/>
    </row>
    <row r="28" spans="1:13" ht="28.5" customHeight="1" thickTop="1" thickBot="1" x14ac:dyDescent="0.3">
      <c r="A28" s="165"/>
      <c r="B28" s="151">
        <v>17</v>
      </c>
      <c r="C28" s="134" t="s">
        <v>239</v>
      </c>
      <c r="D28" s="134" t="s">
        <v>240</v>
      </c>
      <c r="E28" s="133" t="s">
        <v>190</v>
      </c>
      <c r="F28" s="133" t="s">
        <v>88</v>
      </c>
      <c r="G28" s="133">
        <v>120</v>
      </c>
      <c r="H28" s="133">
        <v>0</v>
      </c>
      <c r="I28" s="133">
        <v>0</v>
      </c>
      <c r="J28" s="133">
        <v>0</v>
      </c>
      <c r="K28" s="133">
        <v>180</v>
      </c>
      <c r="L28" s="135">
        <f>SUM(G28:K28)</f>
        <v>300</v>
      </c>
      <c r="M28" s="165"/>
    </row>
    <row r="29" spans="1:13" ht="28.5" customHeight="1" thickTop="1" thickBot="1" x14ac:dyDescent="0.3">
      <c r="A29" s="165"/>
      <c r="B29" s="150">
        <v>18</v>
      </c>
      <c r="C29" s="137" t="s">
        <v>226</v>
      </c>
      <c r="D29" s="137" t="s">
        <v>227</v>
      </c>
      <c r="E29" s="136" t="s">
        <v>95</v>
      </c>
      <c r="F29" s="136" t="s">
        <v>88</v>
      </c>
      <c r="G29" s="136">
        <v>0</v>
      </c>
      <c r="H29" s="136">
        <v>100</v>
      </c>
      <c r="I29" s="136">
        <v>100</v>
      </c>
      <c r="J29" s="136">
        <v>0</v>
      </c>
      <c r="K29" s="136">
        <v>100</v>
      </c>
      <c r="L29" s="138">
        <f>SUM(G29:K29)</f>
        <v>300</v>
      </c>
      <c r="M29" s="165"/>
    </row>
    <row r="30" spans="1:13" ht="28.5" customHeight="1" thickTop="1" thickBot="1" x14ac:dyDescent="0.3">
      <c r="A30" s="165"/>
      <c r="B30" s="151">
        <v>19</v>
      </c>
      <c r="C30" s="134" t="s">
        <v>202</v>
      </c>
      <c r="D30" s="134" t="s">
        <v>203</v>
      </c>
      <c r="E30" s="133" t="s">
        <v>152</v>
      </c>
      <c r="F30" s="133" t="s">
        <v>88</v>
      </c>
      <c r="G30" s="133">
        <v>160</v>
      </c>
      <c r="H30" s="133">
        <v>120</v>
      </c>
      <c r="I30" s="133">
        <v>0</v>
      </c>
      <c r="J30" s="133">
        <v>0</v>
      </c>
      <c r="K30" s="133">
        <v>0</v>
      </c>
      <c r="L30" s="138">
        <f>SUM(G30:K30)</f>
        <v>280</v>
      </c>
      <c r="M30" s="165"/>
    </row>
    <row r="31" spans="1:13" ht="28.5" customHeight="1" thickTop="1" thickBot="1" x14ac:dyDescent="0.3">
      <c r="A31" s="165"/>
      <c r="B31" s="150">
        <v>20</v>
      </c>
      <c r="C31" s="137" t="s">
        <v>257</v>
      </c>
      <c r="D31" s="137" t="s">
        <v>258</v>
      </c>
      <c r="E31" s="136" t="s">
        <v>89</v>
      </c>
      <c r="F31" s="136" t="s">
        <v>88</v>
      </c>
      <c r="G31" s="136">
        <v>0</v>
      </c>
      <c r="H31" s="136">
        <v>0</v>
      </c>
      <c r="I31" s="136">
        <v>100</v>
      </c>
      <c r="J31" s="136">
        <v>0</v>
      </c>
      <c r="K31" s="136">
        <v>160</v>
      </c>
      <c r="L31" s="138">
        <f>SUM(G31:K31)</f>
        <v>260</v>
      </c>
      <c r="M31" s="165"/>
    </row>
    <row r="32" spans="1:13" ht="28.5" customHeight="1" thickTop="1" thickBot="1" x14ac:dyDescent="0.3">
      <c r="A32" s="165"/>
      <c r="B32" s="155">
        <v>21</v>
      </c>
      <c r="C32" s="134" t="s">
        <v>204</v>
      </c>
      <c r="D32" s="134" t="s">
        <v>205</v>
      </c>
      <c r="E32" s="133" t="s">
        <v>206</v>
      </c>
      <c r="F32" s="133" t="s">
        <v>151</v>
      </c>
      <c r="G32" s="133">
        <v>0</v>
      </c>
      <c r="H32" s="133">
        <v>0</v>
      </c>
      <c r="I32" s="133">
        <v>100</v>
      </c>
      <c r="J32" s="133">
        <v>120</v>
      </c>
      <c r="K32" s="133">
        <v>0</v>
      </c>
      <c r="L32" s="135">
        <f>SUM(G32:K32)</f>
        <v>220</v>
      </c>
      <c r="M32" s="165"/>
    </row>
    <row r="33" spans="1:13" ht="28.5" customHeight="1" thickTop="1" thickBot="1" x14ac:dyDescent="0.3">
      <c r="A33" s="165"/>
      <c r="B33" s="156"/>
      <c r="C33" s="134" t="s">
        <v>213</v>
      </c>
      <c r="D33" s="134" t="s">
        <v>214</v>
      </c>
      <c r="E33" s="133" t="s">
        <v>172</v>
      </c>
      <c r="F33" s="133" t="s">
        <v>88</v>
      </c>
      <c r="G33" s="133">
        <v>100</v>
      </c>
      <c r="H33" s="133">
        <v>0</v>
      </c>
      <c r="I33" s="133">
        <v>0</v>
      </c>
      <c r="J33" s="133">
        <v>120</v>
      </c>
      <c r="K33" s="133">
        <v>0</v>
      </c>
      <c r="L33" s="135">
        <f>SUM(G33:K33)</f>
        <v>220</v>
      </c>
      <c r="M33" s="165"/>
    </row>
    <row r="34" spans="1:13" ht="28.5" customHeight="1" thickTop="1" thickBot="1" x14ac:dyDescent="0.3">
      <c r="A34" s="165"/>
      <c r="B34" s="156"/>
      <c r="C34" s="134" t="s">
        <v>215</v>
      </c>
      <c r="D34" s="134" t="s">
        <v>216</v>
      </c>
      <c r="E34" s="133" t="s">
        <v>87</v>
      </c>
      <c r="F34" s="133" t="s">
        <v>88</v>
      </c>
      <c r="G34" s="133">
        <v>100</v>
      </c>
      <c r="H34" s="133">
        <v>0</v>
      </c>
      <c r="I34" s="133">
        <v>0</v>
      </c>
      <c r="J34" s="133">
        <v>120</v>
      </c>
      <c r="K34" s="133">
        <v>0</v>
      </c>
      <c r="L34" s="135">
        <f>SUM(G34:K34)</f>
        <v>220</v>
      </c>
      <c r="M34" s="165"/>
    </row>
    <row r="35" spans="1:13" ht="28.5" customHeight="1" thickTop="1" thickBot="1" x14ac:dyDescent="0.3">
      <c r="A35" s="165"/>
      <c r="B35" s="157"/>
      <c r="C35" s="134" t="s">
        <v>219</v>
      </c>
      <c r="D35" s="134" t="s">
        <v>220</v>
      </c>
      <c r="E35" s="133" t="s">
        <v>95</v>
      </c>
      <c r="F35" s="133" t="s">
        <v>88</v>
      </c>
      <c r="G35" s="133">
        <v>100</v>
      </c>
      <c r="H35" s="133">
        <v>120</v>
      </c>
      <c r="I35" s="133">
        <v>0</v>
      </c>
      <c r="J35" s="133">
        <v>0</v>
      </c>
      <c r="K35" s="133">
        <v>0</v>
      </c>
      <c r="L35" s="135">
        <f>SUM(G35:K35)</f>
        <v>220</v>
      </c>
      <c r="M35" s="165"/>
    </row>
    <row r="36" spans="1:13" ht="28.5" customHeight="1" thickTop="1" thickBot="1" x14ac:dyDescent="0.3">
      <c r="A36" s="165"/>
      <c r="B36" s="158">
        <v>22</v>
      </c>
      <c r="C36" s="137" t="s">
        <v>221</v>
      </c>
      <c r="D36" s="137" t="s">
        <v>222</v>
      </c>
      <c r="E36" s="136" t="s">
        <v>223</v>
      </c>
      <c r="F36" s="136" t="s">
        <v>151</v>
      </c>
      <c r="G36" s="136">
        <v>100</v>
      </c>
      <c r="H36" s="136">
        <v>100</v>
      </c>
      <c r="I36" s="136">
        <v>0</v>
      </c>
      <c r="J36" s="136">
        <v>0</v>
      </c>
      <c r="K36" s="136">
        <v>0</v>
      </c>
      <c r="L36" s="138">
        <f>SUM(G36:K36)</f>
        <v>200</v>
      </c>
      <c r="M36" s="165"/>
    </row>
    <row r="37" spans="1:13" ht="28.5" customHeight="1" thickTop="1" thickBot="1" x14ac:dyDescent="0.3">
      <c r="A37" s="165"/>
      <c r="B37" s="159"/>
      <c r="C37" s="137" t="s">
        <v>224</v>
      </c>
      <c r="D37" s="137" t="s">
        <v>225</v>
      </c>
      <c r="E37" s="136" t="s">
        <v>223</v>
      </c>
      <c r="F37" s="136" t="s">
        <v>151</v>
      </c>
      <c r="G37" s="136">
        <v>100</v>
      </c>
      <c r="H37" s="136">
        <v>100</v>
      </c>
      <c r="I37" s="136">
        <v>0</v>
      </c>
      <c r="J37" s="136">
        <v>0</v>
      </c>
      <c r="K37" s="136">
        <v>0</v>
      </c>
      <c r="L37" s="138">
        <f>SUM(G37:K37)</f>
        <v>200</v>
      </c>
      <c r="M37" s="165"/>
    </row>
    <row r="38" spans="1:13" ht="28.5" customHeight="1" thickTop="1" thickBot="1" x14ac:dyDescent="0.3">
      <c r="A38" s="165"/>
      <c r="B38" s="159"/>
      <c r="C38" s="137" t="s">
        <v>243</v>
      </c>
      <c r="D38" s="137" t="s">
        <v>244</v>
      </c>
      <c r="E38" s="136" t="s">
        <v>89</v>
      </c>
      <c r="F38" s="136" t="s">
        <v>88</v>
      </c>
      <c r="G38" s="136">
        <v>100</v>
      </c>
      <c r="H38" s="136">
        <v>0</v>
      </c>
      <c r="I38" s="136">
        <v>0</v>
      </c>
      <c r="J38" s="136">
        <v>0</v>
      </c>
      <c r="K38" s="136">
        <v>100</v>
      </c>
      <c r="L38" s="138">
        <f>SUM(G38:K38)</f>
        <v>200</v>
      </c>
      <c r="M38" s="165"/>
    </row>
    <row r="39" spans="1:13" ht="28.5" customHeight="1" thickTop="1" thickBot="1" x14ac:dyDescent="0.3">
      <c r="A39" s="165"/>
      <c r="B39" s="160"/>
      <c r="C39" s="137" t="s">
        <v>228</v>
      </c>
      <c r="D39" s="137" t="s">
        <v>229</v>
      </c>
      <c r="E39" s="136" t="s">
        <v>95</v>
      </c>
      <c r="F39" s="136" t="s">
        <v>88</v>
      </c>
      <c r="G39" s="136">
        <v>0</v>
      </c>
      <c r="H39" s="136">
        <v>100</v>
      </c>
      <c r="I39" s="136">
        <v>100</v>
      </c>
      <c r="J39" s="136">
        <v>0</v>
      </c>
      <c r="K39" s="136">
        <v>0</v>
      </c>
      <c r="L39" s="138">
        <f>SUM(G39:K39)</f>
        <v>200</v>
      </c>
      <c r="M39" s="165"/>
    </row>
    <row r="40" spans="1:13" ht="28.5" customHeight="1" thickTop="1" thickBot="1" x14ac:dyDescent="0.3">
      <c r="A40" s="165"/>
      <c r="B40" s="155">
        <v>23</v>
      </c>
      <c r="C40" s="134" t="s">
        <v>230</v>
      </c>
      <c r="D40" s="134" t="s">
        <v>231</v>
      </c>
      <c r="E40" s="133" t="s">
        <v>232</v>
      </c>
      <c r="F40" s="133" t="s">
        <v>151</v>
      </c>
      <c r="G40" s="133">
        <v>0</v>
      </c>
      <c r="H40" s="133">
        <v>140</v>
      </c>
      <c r="I40" s="133">
        <v>0</v>
      </c>
      <c r="J40" s="133">
        <v>0</v>
      </c>
      <c r="K40" s="133">
        <v>0</v>
      </c>
      <c r="L40" s="135">
        <f>SUM(G40:K40)</f>
        <v>140</v>
      </c>
      <c r="M40" s="165"/>
    </row>
    <row r="41" spans="1:13" ht="28.5" customHeight="1" thickTop="1" thickBot="1" x14ac:dyDescent="0.3">
      <c r="A41" s="165"/>
      <c r="B41" s="157"/>
      <c r="C41" s="134" t="s">
        <v>233</v>
      </c>
      <c r="D41" s="134" t="s">
        <v>234</v>
      </c>
      <c r="E41" s="133" t="s">
        <v>235</v>
      </c>
      <c r="F41" s="133" t="s">
        <v>90</v>
      </c>
      <c r="G41" s="133">
        <v>140</v>
      </c>
      <c r="H41" s="133">
        <v>0</v>
      </c>
      <c r="I41" s="133">
        <v>0</v>
      </c>
      <c r="J41" s="133">
        <v>0</v>
      </c>
      <c r="K41" s="133">
        <v>0</v>
      </c>
      <c r="L41" s="135">
        <f>SUM(G41:K41)</f>
        <v>140</v>
      </c>
      <c r="M41" s="165"/>
    </row>
    <row r="42" spans="1:13" ht="28.5" customHeight="1" thickTop="1" thickBot="1" x14ac:dyDescent="0.3">
      <c r="A42" s="165"/>
      <c r="B42" s="158">
        <v>24</v>
      </c>
      <c r="C42" s="137" t="s">
        <v>236</v>
      </c>
      <c r="D42" s="137" t="s">
        <v>237</v>
      </c>
      <c r="E42" s="136" t="s">
        <v>238</v>
      </c>
      <c r="F42" s="136" t="s">
        <v>88</v>
      </c>
      <c r="G42" s="136">
        <v>0</v>
      </c>
      <c r="H42" s="136">
        <v>0</v>
      </c>
      <c r="I42" s="136">
        <v>0</v>
      </c>
      <c r="J42" s="136">
        <v>120</v>
      </c>
      <c r="K42" s="136">
        <v>0</v>
      </c>
      <c r="L42" s="138">
        <f>SUM(G42:K42)</f>
        <v>120</v>
      </c>
      <c r="M42" s="165"/>
    </row>
    <row r="43" spans="1:13" ht="28.5" customHeight="1" thickTop="1" thickBot="1" x14ac:dyDescent="0.3">
      <c r="A43" s="165"/>
      <c r="B43" s="159"/>
      <c r="C43" s="137" t="s">
        <v>308</v>
      </c>
      <c r="D43" s="137" t="s">
        <v>310</v>
      </c>
      <c r="E43" s="136" t="s">
        <v>311</v>
      </c>
      <c r="F43" s="136" t="s">
        <v>88</v>
      </c>
      <c r="G43" s="136">
        <v>0</v>
      </c>
      <c r="H43" s="136">
        <v>0</v>
      </c>
      <c r="I43" s="136">
        <v>0</v>
      </c>
      <c r="J43" s="136">
        <v>0</v>
      </c>
      <c r="K43" s="136">
        <v>120</v>
      </c>
      <c r="L43" s="138">
        <f>SUM(G43:K43)</f>
        <v>120</v>
      </c>
      <c r="M43" s="165"/>
    </row>
    <row r="44" spans="1:13" ht="28.5" customHeight="1" thickTop="1" thickBot="1" x14ac:dyDescent="0.3">
      <c r="A44" s="165"/>
      <c r="B44" s="160"/>
      <c r="C44" s="137" t="s">
        <v>241</v>
      </c>
      <c r="D44" s="137" t="s">
        <v>242</v>
      </c>
      <c r="E44" s="136" t="s">
        <v>152</v>
      </c>
      <c r="F44" s="136" t="s">
        <v>88</v>
      </c>
      <c r="G44" s="136">
        <v>0</v>
      </c>
      <c r="H44" s="136">
        <v>120</v>
      </c>
      <c r="I44" s="136">
        <v>0</v>
      </c>
      <c r="J44" s="136">
        <v>0</v>
      </c>
      <c r="K44" s="136">
        <v>0</v>
      </c>
      <c r="L44" s="138">
        <f>SUM(G44:K44)</f>
        <v>120</v>
      </c>
      <c r="M44" s="165"/>
    </row>
    <row r="45" spans="1:13" ht="28.5" customHeight="1" thickTop="1" thickBot="1" x14ac:dyDescent="0.3">
      <c r="A45" s="165"/>
      <c r="B45" s="155">
        <v>25</v>
      </c>
      <c r="C45" s="134" t="s">
        <v>245</v>
      </c>
      <c r="D45" s="134" t="s">
        <v>246</v>
      </c>
      <c r="E45" s="133" t="s">
        <v>89</v>
      </c>
      <c r="F45" s="133" t="s">
        <v>88</v>
      </c>
      <c r="G45" s="133">
        <v>0</v>
      </c>
      <c r="H45" s="133">
        <v>0</v>
      </c>
      <c r="I45" s="133">
        <v>100</v>
      </c>
      <c r="J45" s="133">
        <v>0</v>
      </c>
      <c r="K45" s="133">
        <v>0</v>
      </c>
      <c r="L45" s="135">
        <f>SUM(G45:K45)</f>
        <v>100</v>
      </c>
      <c r="M45" s="165"/>
    </row>
    <row r="46" spans="1:13" ht="28.5" customHeight="1" thickTop="1" thickBot="1" x14ac:dyDescent="0.3">
      <c r="A46" s="165"/>
      <c r="B46" s="156"/>
      <c r="C46" s="134" t="s">
        <v>309</v>
      </c>
      <c r="D46" s="134" t="s">
        <v>312</v>
      </c>
      <c r="E46" s="133" t="s">
        <v>172</v>
      </c>
      <c r="F46" s="133" t="s">
        <v>88</v>
      </c>
      <c r="G46" s="133">
        <v>0</v>
      </c>
      <c r="H46" s="133">
        <v>0</v>
      </c>
      <c r="I46" s="133">
        <v>0</v>
      </c>
      <c r="J46" s="133">
        <v>0</v>
      </c>
      <c r="K46" s="133">
        <v>100</v>
      </c>
      <c r="L46" s="135">
        <f>SUM(G46:K46)</f>
        <v>100</v>
      </c>
      <c r="M46" s="165"/>
    </row>
    <row r="47" spans="1:13" ht="28.5" customHeight="1" thickTop="1" thickBot="1" x14ac:dyDescent="0.3">
      <c r="A47" s="165"/>
      <c r="B47" s="156"/>
      <c r="C47" s="134" t="s">
        <v>306</v>
      </c>
      <c r="D47" s="134" t="s">
        <v>307</v>
      </c>
      <c r="E47" s="133" t="s">
        <v>172</v>
      </c>
      <c r="F47" s="133" t="s">
        <v>88</v>
      </c>
      <c r="G47" s="133">
        <v>0</v>
      </c>
      <c r="H47" s="133">
        <v>0</v>
      </c>
      <c r="I47" s="133">
        <v>0</v>
      </c>
      <c r="J47" s="133">
        <v>0</v>
      </c>
      <c r="K47" s="133">
        <v>100</v>
      </c>
      <c r="L47" s="135">
        <f>SUM(G47:K47)</f>
        <v>100</v>
      </c>
      <c r="M47" s="165"/>
    </row>
    <row r="48" spans="1:13" ht="28.5" customHeight="1" thickTop="1" thickBot="1" x14ac:dyDescent="0.3">
      <c r="A48" s="165"/>
      <c r="B48" s="156"/>
      <c r="C48" s="134" t="s">
        <v>247</v>
      </c>
      <c r="D48" s="134" t="s">
        <v>248</v>
      </c>
      <c r="E48" s="133" t="s">
        <v>190</v>
      </c>
      <c r="F48" s="133" t="s">
        <v>88</v>
      </c>
      <c r="G48" s="133">
        <v>100</v>
      </c>
      <c r="H48" s="133">
        <v>0</v>
      </c>
      <c r="I48" s="133">
        <v>0</v>
      </c>
      <c r="J48" s="133">
        <v>0</v>
      </c>
      <c r="K48" s="133">
        <v>0</v>
      </c>
      <c r="L48" s="135">
        <f>SUM(G48:K48)</f>
        <v>100</v>
      </c>
      <c r="M48" s="165"/>
    </row>
    <row r="49" spans="1:13" ht="28.5" customHeight="1" thickTop="1" thickBot="1" x14ac:dyDescent="0.3">
      <c r="A49" s="165"/>
      <c r="B49" s="156"/>
      <c r="C49" s="134" t="s">
        <v>249</v>
      </c>
      <c r="D49" s="134" t="s">
        <v>250</v>
      </c>
      <c r="E49" s="133" t="s">
        <v>199</v>
      </c>
      <c r="F49" s="133" t="s">
        <v>88</v>
      </c>
      <c r="G49" s="133">
        <v>100</v>
      </c>
      <c r="H49" s="133">
        <v>0</v>
      </c>
      <c r="I49" s="133">
        <v>0</v>
      </c>
      <c r="J49" s="133">
        <v>0</v>
      </c>
      <c r="K49" s="133">
        <v>0</v>
      </c>
      <c r="L49" s="135">
        <f>SUM(G49:K49)</f>
        <v>100</v>
      </c>
      <c r="M49" s="165"/>
    </row>
    <row r="50" spans="1:13" ht="28.5" customHeight="1" thickTop="1" thickBot="1" x14ac:dyDescent="0.3">
      <c r="A50" s="165"/>
      <c r="B50" s="156"/>
      <c r="C50" s="134" t="s">
        <v>251</v>
      </c>
      <c r="D50" s="134" t="s">
        <v>252</v>
      </c>
      <c r="E50" s="133" t="s">
        <v>95</v>
      </c>
      <c r="F50" s="133" t="s">
        <v>88</v>
      </c>
      <c r="G50" s="133">
        <v>100</v>
      </c>
      <c r="H50" s="133">
        <v>0</v>
      </c>
      <c r="I50" s="133">
        <v>0</v>
      </c>
      <c r="J50" s="133">
        <v>0</v>
      </c>
      <c r="K50" s="133">
        <v>0</v>
      </c>
      <c r="L50" s="135">
        <f>SUM(G50:K50)</f>
        <v>100</v>
      </c>
      <c r="M50" s="165"/>
    </row>
    <row r="51" spans="1:13" ht="28.5" customHeight="1" thickTop="1" thickBot="1" x14ac:dyDescent="0.3">
      <c r="A51" s="165"/>
      <c r="B51" s="156"/>
      <c r="C51" s="134" t="s">
        <v>253</v>
      </c>
      <c r="D51" s="134" t="s">
        <v>254</v>
      </c>
      <c r="E51" s="133" t="s">
        <v>172</v>
      </c>
      <c r="F51" s="133" t="s">
        <v>88</v>
      </c>
      <c r="G51" s="133">
        <v>100</v>
      </c>
      <c r="H51" s="133">
        <v>0</v>
      </c>
      <c r="I51" s="133">
        <v>0</v>
      </c>
      <c r="J51" s="133">
        <v>0</v>
      </c>
      <c r="K51" s="133">
        <v>0</v>
      </c>
      <c r="L51" s="135">
        <f>SUM(G51:K51)</f>
        <v>100</v>
      </c>
      <c r="M51" s="165"/>
    </row>
    <row r="52" spans="1:13" ht="28.5" customHeight="1" thickTop="1" thickBot="1" x14ac:dyDescent="0.3">
      <c r="A52" s="165"/>
      <c r="B52" s="156"/>
      <c r="C52" s="134" t="s">
        <v>255</v>
      </c>
      <c r="D52" s="134" t="s">
        <v>256</v>
      </c>
      <c r="E52" s="133" t="s">
        <v>206</v>
      </c>
      <c r="F52" s="133" t="s">
        <v>151</v>
      </c>
      <c r="G52" s="133">
        <v>0</v>
      </c>
      <c r="H52" s="133">
        <v>0</v>
      </c>
      <c r="I52" s="133">
        <v>100</v>
      </c>
      <c r="J52" s="133">
        <v>0</v>
      </c>
      <c r="K52" s="133">
        <v>0</v>
      </c>
      <c r="L52" s="135">
        <f>SUM(G52:K52)</f>
        <v>100</v>
      </c>
      <c r="M52" s="165"/>
    </row>
    <row r="53" spans="1:13" ht="28.5" customHeight="1" thickTop="1" thickBot="1" x14ac:dyDescent="0.3">
      <c r="A53" s="165"/>
      <c r="B53" s="157"/>
      <c r="C53" s="134" t="s">
        <v>259</v>
      </c>
      <c r="D53" s="134" t="s">
        <v>260</v>
      </c>
      <c r="E53" s="133" t="s">
        <v>163</v>
      </c>
      <c r="F53" s="133" t="s">
        <v>88</v>
      </c>
      <c r="G53" s="133">
        <v>100</v>
      </c>
      <c r="H53" s="133">
        <v>0</v>
      </c>
      <c r="I53" s="133">
        <v>0</v>
      </c>
      <c r="J53" s="133">
        <v>0</v>
      </c>
      <c r="K53" s="133">
        <v>0</v>
      </c>
      <c r="L53" s="135">
        <f>SUM(G53:K53)</f>
        <v>100</v>
      </c>
      <c r="M53" s="165"/>
    </row>
    <row r="54" spans="1:13" ht="9.9499999999999993" customHeight="1" thickTop="1" thickBot="1" x14ac:dyDescent="0.3">
      <c r="A54" s="166"/>
      <c r="B54" s="161"/>
      <c r="C54" s="162"/>
      <c r="D54" s="162"/>
      <c r="E54" s="162"/>
      <c r="F54" s="162"/>
      <c r="G54" s="162"/>
      <c r="H54" s="162"/>
      <c r="I54" s="162"/>
      <c r="J54" s="162"/>
      <c r="K54" s="162"/>
      <c r="L54" s="163"/>
      <c r="M54" s="166"/>
    </row>
    <row r="55" spans="1:13" ht="15.75" thickTop="1" x14ac:dyDescent="0.25"/>
  </sheetData>
  <sortState xmlns:xlrd2="http://schemas.microsoft.com/office/spreadsheetml/2017/richdata2" ref="C45:L53">
    <sortCondition ref="C45:C53"/>
  </sortState>
  <mergeCells count="21">
    <mergeCell ref="B45:B53"/>
    <mergeCell ref="B26:B27"/>
    <mergeCell ref="B32:B35"/>
    <mergeCell ref="B36:B39"/>
    <mergeCell ref="B40:B41"/>
    <mergeCell ref="B42:B44"/>
    <mergeCell ref="L5:L6"/>
    <mergeCell ref="B11:B12"/>
    <mergeCell ref="B14:B15"/>
    <mergeCell ref="B23:B25"/>
    <mergeCell ref="A1:M1"/>
    <mergeCell ref="A2:A54"/>
    <mergeCell ref="B2:L2"/>
    <mergeCell ref="M2:M54"/>
    <mergeCell ref="B3:L3"/>
    <mergeCell ref="B4:L4"/>
    <mergeCell ref="B5:B6"/>
    <mergeCell ref="C5:C6"/>
    <mergeCell ref="D5:D6"/>
    <mergeCell ref="F5:F6"/>
    <mergeCell ref="B54:L54"/>
  </mergeCells>
  <printOptions horizontalCentered="1" verticalCentered="1"/>
  <pageMargins left="0" right="0" top="0" bottom="0" header="0" footer="0"/>
  <pageSetup paperSize="9" scale="54"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42F8C-108C-4D83-8792-5DB567BF0556}">
  <sheetPr>
    <pageSetUpPr fitToPage="1"/>
  </sheetPr>
  <dimension ref="A1:I36"/>
  <sheetViews>
    <sheetView showGridLines="0" topLeftCell="A4" zoomScale="85" zoomScaleNormal="85" workbookViewId="0">
      <selection activeCell="D30" sqref="D30:H30"/>
    </sheetView>
  </sheetViews>
  <sheetFormatPr defaultRowHeight="15" x14ac:dyDescent="0.25"/>
  <cols>
    <col min="1" max="1" width="1.7109375" customWidth="1"/>
    <col min="2" max="2" width="6.42578125" customWidth="1"/>
    <col min="3" max="3" width="40.42578125" customWidth="1"/>
    <col min="4" max="4" width="30.7109375" customWidth="1"/>
    <col min="5" max="5" width="1.7109375" customWidth="1"/>
    <col min="6" max="6" width="10.7109375" customWidth="1"/>
    <col min="7" max="7" width="45.28515625" customWidth="1"/>
    <col min="8" max="8" width="41.85546875" customWidth="1"/>
    <col min="9" max="9" width="1.7109375" customWidth="1"/>
  </cols>
  <sheetData>
    <row r="1" spans="1:9" ht="9.9499999999999993" customHeight="1" thickBot="1" x14ac:dyDescent="0.3">
      <c r="A1" s="192"/>
      <c r="B1" s="193"/>
      <c r="C1" s="193"/>
      <c r="D1" s="193"/>
      <c r="E1" s="193"/>
      <c r="F1" s="193"/>
      <c r="G1" s="193"/>
      <c r="H1" s="193"/>
      <c r="I1" s="194"/>
    </row>
    <row r="2" spans="1:9" ht="69.95" customHeight="1" thickBot="1" x14ac:dyDescent="0.3">
      <c r="A2" s="195"/>
      <c r="B2" s="196" t="s">
        <v>76</v>
      </c>
      <c r="C2" s="197"/>
      <c r="D2" s="197"/>
      <c r="E2" s="197"/>
      <c r="F2" s="197"/>
      <c r="G2" s="197"/>
      <c r="H2" s="198"/>
      <c r="I2" s="199"/>
    </row>
    <row r="3" spans="1:9" ht="9.9499999999999993" customHeight="1" thickBot="1" x14ac:dyDescent="0.3">
      <c r="A3" s="195"/>
      <c r="B3" s="200"/>
      <c r="C3" s="201"/>
      <c r="D3" s="201"/>
      <c r="E3" s="201"/>
      <c r="F3" s="201"/>
      <c r="G3" s="201"/>
      <c r="H3" s="202"/>
      <c r="I3" s="199"/>
    </row>
    <row r="4" spans="1:9" ht="60" customHeight="1" thickBot="1" x14ac:dyDescent="0.3">
      <c r="A4" s="195"/>
      <c r="B4" s="203" t="s">
        <v>34</v>
      </c>
      <c r="C4" s="204"/>
      <c r="D4" s="204"/>
      <c r="E4" s="204"/>
      <c r="F4" s="204"/>
      <c r="G4" s="204"/>
      <c r="H4" s="205"/>
      <c r="I4" s="199"/>
    </row>
    <row r="5" spans="1:9" ht="9.9499999999999993" customHeight="1" thickBot="1" x14ac:dyDescent="0.3">
      <c r="A5" s="195"/>
      <c r="B5" s="206"/>
      <c r="C5" s="207"/>
      <c r="D5" s="207"/>
      <c r="E5" s="207"/>
      <c r="F5" s="207"/>
      <c r="G5" s="207"/>
      <c r="H5" s="208"/>
      <c r="I5" s="199"/>
    </row>
    <row r="6" spans="1:9" ht="35.1" customHeight="1" thickBot="1" x14ac:dyDescent="0.3">
      <c r="A6" s="195"/>
      <c r="B6" s="209" t="s">
        <v>153</v>
      </c>
      <c r="C6" s="210"/>
      <c r="D6" s="211" t="s">
        <v>261</v>
      </c>
      <c r="E6" s="212"/>
      <c r="F6" s="212"/>
      <c r="G6" s="213"/>
      <c r="H6" s="116" t="s">
        <v>263</v>
      </c>
      <c r="I6" s="199"/>
    </row>
    <row r="7" spans="1:9" ht="35.1" customHeight="1" thickBot="1" x14ac:dyDescent="0.3">
      <c r="A7" s="195"/>
      <c r="B7" s="217" t="s">
        <v>80</v>
      </c>
      <c r="C7" s="218"/>
      <c r="D7" s="214"/>
      <c r="E7" s="215"/>
      <c r="F7" s="215"/>
      <c r="G7" s="216"/>
      <c r="H7" s="117" t="s">
        <v>262</v>
      </c>
      <c r="I7" s="199"/>
    </row>
    <row r="8" spans="1:9" ht="9.9499999999999993" customHeight="1" thickBot="1" x14ac:dyDescent="0.3">
      <c r="A8" s="195"/>
      <c r="B8" s="219"/>
      <c r="C8" s="219"/>
      <c r="D8" s="219"/>
      <c r="E8" s="219"/>
      <c r="F8" s="219"/>
      <c r="G8" s="219"/>
      <c r="H8" s="219"/>
      <c r="I8" s="199"/>
    </row>
    <row r="9" spans="1:9" ht="35.1" customHeight="1" thickBot="1" x14ac:dyDescent="0.3">
      <c r="A9" s="195"/>
      <c r="B9" s="38" t="s">
        <v>26</v>
      </c>
      <c r="C9" s="39" t="s">
        <v>27</v>
      </c>
      <c r="D9" s="220" t="s">
        <v>28</v>
      </c>
      <c r="E9" s="221"/>
      <c r="F9" s="221"/>
      <c r="G9" s="222"/>
      <c r="H9" s="40" t="s">
        <v>29</v>
      </c>
      <c r="I9" s="199"/>
    </row>
    <row r="10" spans="1:9" ht="82.5" customHeight="1" x14ac:dyDescent="0.25">
      <c r="A10" s="195"/>
      <c r="B10" s="4">
        <v>1</v>
      </c>
      <c r="C10" s="5" t="s">
        <v>35</v>
      </c>
      <c r="D10" s="223" t="s">
        <v>100</v>
      </c>
      <c r="E10" s="223"/>
      <c r="F10" s="223"/>
      <c r="G10" s="223"/>
      <c r="H10" s="224"/>
      <c r="I10" s="199"/>
    </row>
    <row r="11" spans="1:9" ht="35.1" customHeight="1" x14ac:dyDescent="0.25">
      <c r="A11" s="195"/>
      <c r="B11" s="6">
        <v>2</v>
      </c>
      <c r="C11" s="7" t="s">
        <v>36</v>
      </c>
      <c r="D11" s="183" t="s">
        <v>81</v>
      </c>
      <c r="E11" s="183"/>
      <c r="F11" s="183"/>
      <c r="G11" s="183"/>
      <c r="H11" s="191"/>
      <c r="I11" s="199"/>
    </row>
    <row r="12" spans="1:9" ht="35.1" customHeight="1" x14ac:dyDescent="0.25">
      <c r="A12" s="195"/>
      <c r="B12" s="6">
        <v>3</v>
      </c>
      <c r="C12" s="7" t="s">
        <v>57</v>
      </c>
      <c r="D12" s="183" t="s">
        <v>101</v>
      </c>
      <c r="E12" s="183"/>
      <c r="F12" s="183"/>
      <c r="G12" s="183"/>
      <c r="H12" s="191"/>
      <c r="I12" s="199"/>
    </row>
    <row r="13" spans="1:9" ht="35.1" customHeight="1" x14ac:dyDescent="0.25">
      <c r="A13" s="195"/>
      <c r="B13" s="6">
        <v>4</v>
      </c>
      <c r="C13" s="7" t="s">
        <v>37</v>
      </c>
      <c r="D13" s="183" t="s">
        <v>102</v>
      </c>
      <c r="E13" s="183"/>
      <c r="F13" s="183"/>
      <c r="G13" s="183"/>
      <c r="H13" s="191"/>
      <c r="I13" s="199"/>
    </row>
    <row r="14" spans="1:9" ht="35.1" customHeight="1" x14ac:dyDescent="0.25">
      <c r="A14" s="195"/>
      <c r="B14" s="6">
        <v>5</v>
      </c>
      <c r="C14" s="11" t="s">
        <v>58</v>
      </c>
      <c r="D14" s="183" t="s">
        <v>62</v>
      </c>
      <c r="E14" s="183"/>
      <c r="F14" s="183"/>
      <c r="G14" s="183"/>
      <c r="H14" s="10" t="s">
        <v>38</v>
      </c>
      <c r="I14" s="199"/>
    </row>
    <row r="15" spans="1:9" ht="35.1" customHeight="1" x14ac:dyDescent="0.25">
      <c r="A15" s="195"/>
      <c r="B15" s="8">
        <v>6</v>
      </c>
      <c r="C15" s="15" t="s">
        <v>39</v>
      </c>
      <c r="D15" s="184" t="s">
        <v>59</v>
      </c>
      <c r="E15" s="184"/>
      <c r="F15" s="184"/>
      <c r="G15" s="184"/>
      <c r="H15" s="16" t="s">
        <v>61</v>
      </c>
      <c r="I15" s="199"/>
    </row>
    <row r="16" spans="1:9" ht="30" customHeight="1" x14ac:dyDescent="0.25">
      <c r="A16" s="195"/>
      <c r="B16" s="186">
        <v>7</v>
      </c>
      <c r="C16" s="188" t="s">
        <v>63</v>
      </c>
      <c r="D16" s="189" t="s">
        <v>64</v>
      </c>
      <c r="E16" s="189"/>
      <c r="F16" s="189"/>
      <c r="G16" s="189"/>
      <c r="H16" s="190"/>
      <c r="I16" s="199"/>
    </row>
    <row r="17" spans="1:9" ht="30" customHeight="1" x14ac:dyDescent="0.25">
      <c r="A17" s="195"/>
      <c r="B17" s="186"/>
      <c r="C17" s="188"/>
      <c r="D17" s="189" t="s">
        <v>65</v>
      </c>
      <c r="E17" s="189"/>
      <c r="F17" s="189"/>
      <c r="G17" s="189"/>
      <c r="H17" s="190"/>
      <c r="I17" s="199"/>
    </row>
    <row r="18" spans="1:9" ht="30" customHeight="1" x14ac:dyDescent="0.25">
      <c r="A18" s="195"/>
      <c r="B18" s="186"/>
      <c r="C18" s="188"/>
      <c r="D18" s="189" t="s">
        <v>66</v>
      </c>
      <c r="E18" s="189"/>
      <c r="F18" s="189"/>
      <c r="G18" s="189"/>
      <c r="H18" s="190"/>
      <c r="I18" s="199"/>
    </row>
    <row r="19" spans="1:9" ht="30" customHeight="1" x14ac:dyDescent="0.25">
      <c r="A19" s="195"/>
      <c r="B19" s="186"/>
      <c r="C19" s="188"/>
      <c r="D19" s="189" t="s">
        <v>67</v>
      </c>
      <c r="E19" s="189"/>
      <c r="F19" s="189"/>
      <c r="G19" s="189"/>
      <c r="H19" s="190"/>
      <c r="I19" s="199"/>
    </row>
    <row r="20" spans="1:9" ht="35.1" customHeight="1" x14ac:dyDescent="0.25">
      <c r="A20" s="195"/>
      <c r="B20" s="186">
        <v>8</v>
      </c>
      <c r="C20" s="14" t="s">
        <v>103</v>
      </c>
      <c r="D20" s="179" t="s">
        <v>104</v>
      </c>
      <c r="E20" s="179"/>
      <c r="F20" s="179"/>
      <c r="G20" s="179"/>
      <c r="H20" s="180"/>
      <c r="I20" s="199"/>
    </row>
    <row r="21" spans="1:9" ht="35.1" customHeight="1" x14ac:dyDescent="0.25">
      <c r="A21" s="195"/>
      <c r="B21" s="186"/>
      <c r="C21" s="14" t="s">
        <v>105</v>
      </c>
      <c r="D21" s="179" t="s">
        <v>106</v>
      </c>
      <c r="E21" s="179"/>
      <c r="F21" s="179"/>
      <c r="G21" s="179"/>
      <c r="H21" s="180"/>
      <c r="I21" s="199"/>
    </row>
    <row r="22" spans="1:9" ht="35.1" customHeight="1" x14ac:dyDescent="0.25">
      <c r="A22" s="195"/>
      <c r="B22" s="8">
        <v>9</v>
      </c>
      <c r="C22" s="7" t="s">
        <v>107</v>
      </c>
      <c r="D22" s="184" t="s">
        <v>108</v>
      </c>
      <c r="E22" s="184"/>
      <c r="F22" s="184"/>
      <c r="G22" s="184"/>
      <c r="H22" s="185"/>
      <c r="I22" s="199"/>
    </row>
    <row r="23" spans="1:9" ht="35.1" customHeight="1" x14ac:dyDescent="0.25">
      <c r="A23" s="195"/>
      <c r="B23" s="8">
        <v>10</v>
      </c>
      <c r="C23" s="14" t="s">
        <v>44</v>
      </c>
      <c r="D23" s="184" t="s">
        <v>109</v>
      </c>
      <c r="E23" s="184"/>
      <c r="F23" s="184"/>
      <c r="G23" s="184"/>
      <c r="H23" s="185"/>
      <c r="I23" s="199"/>
    </row>
    <row r="24" spans="1:9" ht="35.1" customHeight="1" x14ac:dyDescent="0.25">
      <c r="A24" s="195"/>
      <c r="B24" s="8">
        <v>11</v>
      </c>
      <c r="C24" s="7" t="s">
        <v>68</v>
      </c>
      <c r="D24" s="184" t="s">
        <v>71</v>
      </c>
      <c r="E24" s="184"/>
      <c r="F24" s="184"/>
      <c r="G24" s="184"/>
      <c r="H24" s="185"/>
      <c r="I24" s="199"/>
    </row>
    <row r="25" spans="1:9" ht="35.1" customHeight="1" x14ac:dyDescent="0.25">
      <c r="A25" s="195"/>
      <c r="B25" s="8">
        <v>12</v>
      </c>
      <c r="C25" s="9" t="s">
        <v>69</v>
      </c>
      <c r="D25" s="184" t="s">
        <v>70</v>
      </c>
      <c r="E25" s="184"/>
      <c r="F25" s="184"/>
      <c r="G25" s="184"/>
      <c r="H25" s="185"/>
      <c r="I25" s="199"/>
    </row>
    <row r="26" spans="1:9" ht="60" customHeight="1" x14ac:dyDescent="0.25">
      <c r="A26" s="195"/>
      <c r="B26" s="8">
        <v>13</v>
      </c>
      <c r="C26" s="12" t="s">
        <v>40</v>
      </c>
      <c r="D26" s="179" t="s">
        <v>41</v>
      </c>
      <c r="E26" s="179"/>
      <c r="F26" s="179"/>
      <c r="G26" s="179"/>
      <c r="H26" s="180"/>
      <c r="I26" s="199"/>
    </row>
    <row r="27" spans="1:9" ht="60" customHeight="1" x14ac:dyDescent="0.25">
      <c r="A27" s="195"/>
      <c r="B27" s="8">
        <v>14</v>
      </c>
      <c r="C27" s="12" t="s">
        <v>42</v>
      </c>
      <c r="D27" s="179" t="s">
        <v>43</v>
      </c>
      <c r="E27" s="179"/>
      <c r="F27" s="179"/>
      <c r="G27" s="179"/>
      <c r="H27" s="180"/>
      <c r="I27" s="199"/>
    </row>
    <row r="28" spans="1:9" ht="35.1" customHeight="1" x14ac:dyDescent="0.25">
      <c r="A28" s="195"/>
      <c r="B28" s="186">
        <v>15</v>
      </c>
      <c r="C28" s="187" t="s">
        <v>45</v>
      </c>
      <c r="D28" s="184" t="s">
        <v>46</v>
      </c>
      <c r="E28" s="184"/>
      <c r="F28" s="184"/>
      <c r="G28" s="184"/>
      <c r="H28" s="185"/>
      <c r="I28" s="199"/>
    </row>
    <row r="29" spans="1:9" ht="35.1" customHeight="1" x14ac:dyDescent="0.25">
      <c r="A29" s="195"/>
      <c r="B29" s="186"/>
      <c r="C29" s="187"/>
      <c r="D29" s="184" t="s">
        <v>47</v>
      </c>
      <c r="E29" s="184"/>
      <c r="F29" s="184"/>
      <c r="G29" s="184"/>
      <c r="H29" s="185"/>
      <c r="I29" s="199"/>
    </row>
    <row r="30" spans="1:9" ht="60" customHeight="1" x14ac:dyDescent="0.25">
      <c r="A30" s="195"/>
      <c r="B30" s="8">
        <v>16</v>
      </c>
      <c r="C30" s="9" t="s">
        <v>48</v>
      </c>
      <c r="D30" s="179" t="s">
        <v>60</v>
      </c>
      <c r="E30" s="179"/>
      <c r="F30" s="179"/>
      <c r="G30" s="179"/>
      <c r="H30" s="180"/>
      <c r="I30" s="199"/>
    </row>
    <row r="31" spans="1:9" ht="60" customHeight="1" x14ac:dyDescent="0.25">
      <c r="A31" s="195"/>
      <c r="B31" s="8">
        <v>17</v>
      </c>
      <c r="C31" s="9" t="s">
        <v>49</v>
      </c>
      <c r="D31" s="179" t="s">
        <v>50</v>
      </c>
      <c r="E31" s="179"/>
      <c r="F31" s="179"/>
      <c r="G31" s="179"/>
      <c r="H31" s="180"/>
      <c r="I31" s="199"/>
    </row>
    <row r="32" spans="1:9" ht="35.1" customHeight="1" x14ac:dyDescent="0.25">
      <c r="A32" s="195"/>
      <c r="B32" s="181">
        <v>18</v>
      </c>
      <c r="C32" s="182" t="s">
        <v>51</v>
      </c>
      <c r="D32" s="183" t="s">
        <v>77</v>
      </c>
      <c r="E32" s="183"/>
      <c r="F32" s="183"/>
      <c r="G32" s="183"/>
      <c r="H32" s="10" t="s">
        <v>52</v>
      </c>
      <c r="I32" s="199"/>
    </row>
    <row r="33" spans="1:9" ht="35.1" customHeight="1" x14ac:dyDescent="0.25">
      <c r="A33" s="195"/>
      <c r="B33" s="181"/>
      <c r="C33" s="182"/>
      <c r="D33" s="183" t="s">
        <v>53</v>
      </c>
      <c r="E33" s="183"/>
      <c r="F33" s="183"/>
      <c r="G33" s="183"/>
      <c r="H33" s="10" t="s">
        <v>54</v>
      </c>
      <c r="I33" s="199"/>
    </row>
    <row r="34" spans="1:9" ht="35.1" customHeight="1" x14ac:dyDescent="0.25">
      <c r="A34" s="195"/>
      <c r="B34" s="6">
        <v>19</v>
      </c>
      <c r="C34" s="11" t="s">
        <v>55</v>
      </c>
      <c r="D34" s="172" t="s">
        <v>264</v>
      </c>
      <c r="E34" s="172"/>
      <c r="F34" s="172"/>
      <c r="G34" s="172"/>
      <c r="H34" s="173"/>
      <c r="I34" s="199"/>
    </row>
    <row r="35" spans="1:9" ht="35.1" customHeight="1" thickBot="1" x14ac:dyDescent="0.3">
      <c r="A35" s="195"/>
      <c r="B35" s="118">
        <v>20</v>
      </c>
      <c r="C35" s="119" t="s">
        <v>56</v>
      </c>
      <c r="D35" s="174" t="s">
        <v>154</v>
      </c>
      <c r="E35" s="174"/>
      <c r="F35" s="174"/>
      <c r="G35" s="174"/>
      <c r="H35" s="175"/>
      <c r="I35" s="199"/>
    </row>
    <row r="36" spans="1:9" ht="9.9499999999999993" customHeight="1" thickBot="1" x14ac:dyDescent="0.3">
      <c r="A36" s="176"/>
      <c r="B36" s="177"/>
      <c r="C36" s="177"/>
      <c r="D36" s="177"/>
      <c r="E36" s="177"/>
      <c r="F36" s="177"/>
      <c r="G36" s="177"/>
      <c r="H36" s="177"/>
      <c r="I36" s="178"/>
    </row>
  </sheetData>
  <mergeCells count="46">
    <mergeCell ref="D13:H13"/>
    <mergeCell ref="A1:I1"/>
    <mergeCell ref="A2:A35"/>
    <mergeCell ref="B2:H2"/>
    <mergeCell ref="I2:I35"/>
    <mergeCell ref="B3:H3"/>
    <mergeCell ref="B4:H4"/>
    <mergeCell ref="B5:H5"/>
    <mergeCell ref="B6:C6"/>
    <mergeCell ref="D6:G7"/>
    <mergeCell ref="B7:C7"/>
    <mergeCell ref="B8:H8"/>
    <mergeCell ref="D9:G9"/>
    <mergeCell ref="D10:H10"/>
    <mergeCell ref="D11:H11"/>
    <mergeCell ref="D12:H12"/>
    <mergeCell ref="D24:H24"/>
    <mergeCell ref="D14:G14"/>
    <mergeCell ref="D15:G15"/>
    <mergeCell ref="B16:B19"/>
    <mergeCell ref="C16:C19"/>
    <mergeCell ref="D16:H16"/>
    <mergeCell ref="D17:H17"/>
    <mergeCell ref="D18:H18"/>
    <mergeCell ref="D19:H19"/>
    <mergeCell ref="B20:B21"/>
    <mergeCell ref="D20:H20"/>
    <mergeCell ref="D21:H21"/>
    <mergeCell ref="D22:H22"/>
    <mergeCell ref="D23:H23"/>
    <mergeCell ref="D25:H25"/>
    <mergeCell ref="D26:H26"/>
    <mergeCell ref="D27:H27"/>
    <mergeCell ref="B28:B29"/>
    <mergeCell ref="C28:C29"/>
    <mergeCell ref="D28:H28"/>
    <mergeCell ref="D29:H29"/>
    <mergeCell ref="D34:H34"/>
    <mergeCell ref="D35:H35"/>
    <mergeCell ref="A36:I36"/>
    <mergeCell ref="D30:H30"/>
    <mergeCell ref="D31:H31"/>
    <mergeCell ref="B32:B33"/>
    <mergeCell ref="C32:C33"/>
    <mergeCell ref="D32:G32"/>
    <mergeCell ref="D33:G33"/>
  </mergeCells>
  <printOptions horizontalCentered="1" verticalCentered="1"/>
  <pageMargins left="0.19685039370078741" right="0.19685039370078741" top="0.19685039370078741" bottom="0.19685039370078741" header="0" footer="0"/>
  <pageSetup paperSize="9" scale="5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FB24-6C85-4F53-8B5B-9FB8B9D86281}">
  <sheetPr>
    <pageSetUpPr fitToPage="1"/>
  </sheetPr>
  <dimension ref="A1:T31"/>
  <sheetViews>
    <sheetView showGridLines="0" topLeftCell="A5" zoomScale="85" zoomScaleNormal="85" workbookViewId="0">
      <selection activeCell="I28" sqref="I28:K28"/>
    </sheetView>
  </sheetViews>
  <sheetFormatPr defaultRowHeight="15" x14ac:dyDescent="0.25"/>
  <cols>
    <col min="1" max="1" width="1.7109375" customWidth="1"/>
    <col min="2" max="2" width="10.7109375" customWidth="1"/>
    <col min="3" max="3" width="40.7109375" customWidth="1"/>
    <col min="4" max="4" width="5.7109375" customWidth="1"/>
    <col min="5" max="5" width="1.7109375" customWidth="1"/>
    <col min="6" max="6" width="10.7109375" customWidth="1"/>
    <col min="7" max="7" width="40.7109375" customWidth="1"/>
    <col min="8" max="8" width="5.7109375" customWidth="1"/>
    <col min="9" max="9" width="1.7109375" customWidth="1"/>
    <col min="10" max="10" width="10.7109375" customWidth="1"/>
    <col min="11" max="11" width="40.7109375" customWidth="1"/>
    <col min="12" max="12" width="5.7109375" customWidth="1"/>
    <col min="13" max="13" width="1.7109375" customWidth="1"/>
    <col min="15" max="15" width="10.7109375" customWidth="1"/>
    <col min="16" max="16" width="37" customWidth="1"/>
    <col min="17" max="18" width="10.7109375" customWidth="1"/>
    <col min="19" max="19" width="11.85546875" customWidth="1"/>
  </cols>
  <sheetData>
    <row r="1" spans="1:19" ht="9.9499999999999993" customHeight="1" thickBot="1" x14ac:dyDescent="0.3">
      <c r="A1" s="257"/>
      <c r="B1" s="258"/>
      <c r="C1" s="258"/>
      <c r="D1" s="258"/>
      <c r="E1" s="258"/>
      <c r="F1" s="258"/>
      <c r="G1" s="258"/>
      <c r="H1" s="258"/>
      <c r="I1" s="258"/>
      <c r="J1" s="258"/>
      <c r="K1" s="258"/>
      <c r="L1" s="258"/>
      <c r="M1" s="259"/>
    </row>
    <row r="2" spans="1:19" ht="60" customHeight="1" thickBot="1" x14ac:dyDescent="0.3">
      <c r="A2" s="260"/>
      <c r="B2" s="262" t="s">
        <v>76</v>
      </c>
      <c r="C2" s="263"/>
      <c r="D2" s="263"/>
      <c r="E2" s="263"/>
      <c r="F2" s="263"/>
      <c r="G2" s="263"/>
      <c r="H2" s="263"/>
      <c r="I2" s="263"/>
      <c r="J2" s="263"/>
      <c r="K2" s="263"/>
      <c r="L2" s="264"/>
      <c r="M2" s="265"/>
    </row>
    <row r="3" spans="1:19" ht="35.1" customHeight="1" thickBot="1" x14ac:dyDescent="0.3">
      <c r="A3" s="260"/>
      <c r="B3" s="266" t="s">
        <v>155</v>
      </c>
      <c r="C3" s="266"/>
      <c r="D3" s="266"/>
      <c r="E3" s="266"/>
      <c r="F3" s="266"/>
      <c r="G3" s="266"/>
      <c r="H3" s="266"/>
      <c r="I3" s="266"/>
      <c r="J3" s="266"/>
      <c r="K3" s="266"/>
      <c r="L3" s="266"/>
      <c r="M3" s="265"/>
    </row>
    <row r="4" spans="1:19" ht="35.1" customHeight="1" thickBot="1" x14ac:dyDescent="0.3">
      <c r="A4" s="260"/>
      <c r="B4" s="267" t="s">
        <v>156</v>
      </c>
      <c r="C4" s="268"/>
      <c r="D4" s="268"/>
      <c r="E4" s="268"/>
      <c r="F4" s="268"/>
      <c r="G4" s="268"/>
      <c r="H4" s="268"/>
      <c r="I4" s="268"/>
      <c r="J4" s="268"/>
      <c r="K4" s="268"/>
      <c r="L4" s="269"/>
      <c r="M4" s="265"/>
    </row>
    <row r="5" spans="1:19" ht="35.1" customHeight="1" thickBot="1" x14ac:dyDescent="0.3">
      <c r="A5" s="260"/>
      <c r="B5" s="270" t="s">
        <v>265</v>
      </c>
      <c r="C5" s="270"/>
      <c r="D5" s="270"/>
      <c r="E5" s="270"/>
      <c r="F5" s="270"/>
      <c r="G5" s="270"/>
      <c r="H5" s="270"/>
      <c r="I5" s="270"/>
      <c r="J5" s="270"/>
      <c r="K5" s="270"/>
      <c r="L5" s="270"/>
      <c r="M5" s="265"/>
    </row>
    <row r="6" spans="1:19" ht="30" customHeight="1" x14ac:dyDescent="0.25">
      <c r="A6" s="260"/>
      <c r="B6" s="271" t="s">
        <v>91</v>
      </c>
      <c r="C6" s="272"/>
      <c r="D6" s="272"/>
      <c r="E6" s="272"/>
      <c r="F6" s="272"/>
      <c r="G6" s="272"/>
      <c r="H6" s="272"/>
      <c r="I6" s="272"/>
      <c r="J6" s="272"/>
      <c r="K6" s="272"/>
      <c r="L6" s="273"/>
      <c r="M6" s="265"/>
    </row>
    <row r="7" spans="1:19" ht="20.100000000000001" customHeight="1" thickBot="1" x14ac:dyDescent="0.3">
      <c r="A7" s="260"/>
      <c r="B7" s="274" t="s">
        <v>92</v>
      </c>
      <c r="C7" s="275"/>
      <c r="D7" s="275"/>
      <c r="E7" s="275"/>
      <c r="F7" s="275"/>
      <c r="G7" s="275"/>
      <c r="H7" s="275"/>
      <c r="I7" s="275"/>
      <c r="J7" s="275"/>
      <c r="K7" s="275"/>
      <c r="L7" s="276"/>
      <c r="M7" s="265"/>
    </row>
    <row r="8" spans="1:19" ht="9.9499999999999993" customHeight="1" thickBot="1" x14ac:dyDescent="0.3">
      <c r="A8" s="260"/>
      <c r="B8" s="277"/>
      <c r="C8" s="277"/>
      <c r="D8" s="277"/>
      <c r="E8" s="277"/>
      <c r="F8" s="277"/>
      <c r="G8" s="277"/>
      <c r="H8" s="277"/>
      <c r="I8" s="277"/>
      <c r="J8" s="277"/>
      <c r="K8" s="277"/>
      <c r="L8" s="277"/>
      <c r="M8" s="265"/>
    </row>
    <row r="9" spans="1:19" ht="24.95" customHeight="1" thickBot="1" x14ac:dyDescent="0.3">
      <c r="A9" s="260"/>
      <c r="B9" s="283" t="s">
        <v>32</v>
      </c>
      <c r="C9" s="284"/>
      <c r="D9" s="285"/>
      <c r="E9" s="286"/>
      <c r="F9" s="287" t="s">
        <v>33</v>
      </c>
      <c r="G9" s="288"/>
      <c r="H9" s="289"/>
      <c r="I9" s="286"/>
      <c r="J9" s="243" t="s">
        <v>110</v>
      </c>
      <c r="K9" s="244"/>
      <c r="L9" s="245"/>
      <c r="M9" s="265"/>
    </row>
    <row r="10" spans="1:19" ht="24.95" customHeight="1" x14ac:dyDescent="0.25">
      <c r="A10" s="260"/>
      <c r="B10" s="41" t="s">
        <v>111</v>
      </c>
      <c r="C10" s="42" t="s">
        <v>21</v>
      </c>
      <c r="D10" s="43" t="s">
        <v>112</v>
      </c>
      <c r="E10" s="286"/>
      <c r="F10" s="41" t="s">
        <v>111</v>
      </c>
      <c r="G10" s="43" t="s">
        <v>21</v>
      </c>
      <c r="H10" s="43" t="s">
        <v>112</v>
      </c>
      <c r="I10" s="286"/>
      <c r="J10" s="41" t="s">
        <v>111</v>
      </c>
      <c r="K10" s="43" t="s">
        <v>21</v>
      </c>
      <c r="L10" s="43" t="s">
        <v>112</v>
      </c>
      <c r="M10" s="265"/>
    </row>
    <row r="11" spans="1:19" ht="24.95" customHeight="1" x14ac:dyDescent="0.25">
      <c r="A11" s="260"/>
      <c r="B11" s="36" t="s">
        <v>1</v>
      </c>
      <c r="C11" s="44" t="str">
        <f>C18</f>
        <v>LOBERA/SANDRO GRADICI</v>
      </c>
      <c r="D11" s="45" t="s">
        <v>113</v>
      </c>
      <c r="E11" s="286"/>
      <c r="F11" s="36" t="s">
        <v>3</v>
      </c>
      <c r="G11" s="46" t="str">
        <f>C19</f>
        <v>MARCO RAMOS/JEFF MISERA</v>
      </c>
      <c r="H11" s="47" t="s">
        <v>114</v>
      </c>
      <c r="I11" s="286"/>
      <c r="J11" s="36" t="s">
        <v>4</v>
      </c>
      <c r="K11" s="46" t="str">
        <f>C20</f>
        <v>FABIANO/LEANDRÃO</v>
      </c>
      <c r="L11" s="48" t="s">
        <v>115</v>
      </c>
      <c r="M11" s="265"/>
    </row>
    <row r="12" spans="1:19" ht="24.95" customHeight="1" x14ac:dyDescent="0.25">
      <c r="A12" s="260"/>
      <c r="B12" s="36" t="s">
        <v>6</v>
      </c>
      <c r="C12" s="49" t="str">
        <f>C23</f>
        <v>BETO/PRESIDENTE</v>
      </c>
      <c r="D12" s="45" t="s">
        <v>116</v>
      </c>
      <c r="E12" s="286"/>
      <c r="F12" s="36" t="s">
        <v>5</v>
      </c>
      <c r="G12" s="50" t="str">
        <f>C22</f>
        <v>IVAN/SANDRO MARINS</v>
      </c>
      <c r="H12" s="47" t="s">
        <v>117</v>
      </c>
      <c r="I12" s="286"/>
      <c r="J12" s="36" t="s">
        <v>2</v>
      </c>
      <c r="K12" s="46" t="str">
        <f>C21</f>
        <v>CLÁUDIO/RENATO</v>
      </c>
      <c r="L12" s="48" t="s">
        <v>118</v>
      </c>
      <c r="M12" s="265"/>
    </row>
    <row r="13" spans="1:19" ht="24.95" customHeight="1" x14ac:dyDescent="0.25">
      <c r="A13" s="260"/>
      <c r="B13" s="36" t="s">
        <v>7</v>
      </c>
      <c r="C13" s="49" t="str">
        <f>C24</f>
        <v>EURÍPEDES/HUMBERTO</v>
      </c>
      <c r="D13" s="45" t="s">
        <v>119</v>
      </c>
      <c r="E13" s="286"/>
      <c r="F13" s="36" t="s">
        <v>8</v>
      </c>
      <c r="G13" s="50" t="str">
        <f>C25</f>
        <v>CHARLLES/MÁRIO</v>
      </c>
      <c r="H13" s="47" t="s">
        <v>120</v>
      </c>
      <c r="I13" s="286"/>
      <c r="J13" s="36" t="s">
        <v>121</v>
      </c>
      <c r="K13" s="50" t="str">
        <f>C26</f>
        <v>CONDOR/GRANDE</v>
      </c>
      <c r="L13" s="48" t="s">
        <v>122</v>
      </c>
      <c r="M13" s="265"/>
    </row>
    <row r="14" spans="1:19" ht="24.95" customHeight="1" thickBot="1" x14ac:dyDescent="0.3">
      <c r="A14" s="260"/>
      <c r="B14" s="37" t="s">
        <v>123</v>
      </c>
      <c r="C14" s="51" t="str">
        <f>C29</f>
        <v>JUVENAL/ENOCH</v>
      </c>
      <c r="D14" s="52" t="s">
        <v>124</v>
      </c>
      <c r="E14" s="286"/>
      <c r="F14" s="37" t="s">
        <v>125</v>
      </c>
      <c r="G14" s="53" t="str">
        <f>C28</f>
        <v>PAULO CEARÁ/EDUARDO</v>
      </c>
      <c r="H14" s="54" t="s">
        <v>126</v>
      </c>
      <c r="I14" s="286"/>
      <c r="J14" s="37" t="s">
        <v>127</v>
      </c>
      <c r="K14" s="53" t="str">
        <f>C27</f>
        <v>DIVINO/JÚNIOR SAGRADO</v>
      </c>
      <c r="L14" s="55" t="s">
        <v>128</v>
      </c>
      <c r="M14" s="265"/>
    </row>
    <row r="15" spans="1:19" ht="9.9499999999999993" customHeight="1" thickBot="1" x14ac:dyDescent="0.3">
      <c r="A15" s="260"/>
      <c r="B15" s="246"/>
      <c r="C15" s="246"/>
      <c r="D15" s="246"/>
      <c r="E15" s="246"/>
      <c r="F15" s="246"/>
      <c r="G15" s="246"/>
      <c r="H15" s="246"/>
      <c r="I15" s="246"/>
      <c r="J15" s="246"/>
      <c r="K15" s="246"/>
      <c r="L15" s="246"/>
      <c r="M15" s="265"/>
    </row>
    <row r="16" spans="1:19" ht="20.100000000000001" customHeight="1" thickBot="1" x14ac:dyDescent="0.3">
      <c r="A16" s="260"/>
      <c r="B16" s="247" t="s">
        <v>94</v>
      </c>
      <c r="C16" s="248"/>
      <c r="D16" s="248"/>
      <c r="E16" s="248"/>
      <c r="F16" s="248"/>
      <c r="G16" s="248"/>
      <c r="H16" s="248"/>
      <c r="I16" s="248"/>
      <c r="J16" s="248"/>
      <c r="K16" s="248"/>
      <c r="L16" s="249"/>
      <c r="M16" s="265"/>
      <c r="O16" s="250" t="s">
        <v>129</v>
      </c>
      <c r="P16" s="251"/>
      <c r="Q16" s="251"/>
      <c r="R16" s="251"/>
      <c r="S16" s="252"/>
    </row>
    <row r="17" spans="1:20" ht="24.95" customHeight="1" thickBot="1" x14ac:dyDescent="0.3">
      <c r="A17" s="260"/>
      <c r="B17" s="56" t="s">
        <v>111</v>
      </c>
      <c r="C17" s="253" t="s">
        <v>22</v>
      </c>
      <c r="D17" s="253"/>
      <c r="E17" s="253"/>
      <c r="F17" s="253"/>
      <c r="G17" s="253"/>
      <c r="H17" s="253"/>
      <c r="I17" s="253" t="s">
        <v>130</v>
      </c>
      <c r="J17" s="253"/>
      <c r="K17" s="254"/>
      <c r="L17" s="57" t="s">
        <v>112</v>
      </c>
      <c r="M17" s="265"/>
      <c r="O17" s="255" t="s">
        <v>131</v>
      </c>
      <c r="P17" s="256"/>
      <c r="Q17" s="58" t="s">
        <v>132</v>
      </c>
      <c r="R17" s="58" t="s">
        <v>133</v>
      </c>
      <c r="S17" s="59" t="s">
        <v>0</v>
      </c>
    </row>
    <row r="18" spans="1:20" ht="30" customHeight="1" x14ac:dyDescent="0.25">
      <c r="A18" s="260"/>
      <c r="B18" s="60" t="s">
        <v>1</v>
      </c>
      <c r="C18" s="278" t="s">
        <v>281</v>
      </c>
      <c r="D18" s="279"/>
      <c r="E18" s="279"/>
      <c r="F18" s="279"/>
      <c r="G18" s="279"/>
      <c r="H18" s="280"/>
      <c r="I18" s="281" t="s">
        <v>290</v>
      </c>
      <c r="J18" s="281"/>
      <c r="K18" s="282"/>
      <c r="L18" s="149" t="s">
        <v>113</v>
      </c>
      <c r="M18" s="265"/>
      <c r="O18" s="3" t="s">
        <v>1</v>
      </c>
      <c r="P18" s="61" t="s">
        <v>281</v>
      </c>
      <c r="Q18" s="13">
        <v>560</v>
      </c>
      <c r="R18" s="13">
        <v>500</v>
      </c>
      <c r="S18" s="13">
        <f t="shared" ref="S18:S29" si="0">SUM(Q18:R18)</f>
        <v>1060</v>
      </c>
      <c r="T18" t="s">
        <v>266</v>
      </c>
    </row>
    <row r="19" spans="1:20" ht="30" customHeight="1" x14ac:dyDescent="0.25">
      <c r="A19" s="260"/>
      <c r="B19" s="36" t="s">
        <v>3</v>
      </c>
      <c r="C19" s="226" t="s">
        <v>286</v>
      </c>
      <c r="D19" s="227"/>
      <c r="E19" s="227"/>
      <c r="F19" s="227"/>
      <c r="G19" s="227"/>
      <c r="H19" s="228"/>
      <c r="I19" s="240" t="s">
        <v>291</v>
      </c>
      <c r="J19" s="241"/>
      <c r="K19" s="242"/>
      <c r="L19" s="62" t="s">
        <v>114</v>
      </c>
      <c r="M19" s="265"/>
      <c r="O19" s="3" t="s">
        <v>3</v>
      </c>
      <c r="P19" s="61" t="s">
        <v>286</v>
      </c>
      <c r="Q19" s="13">
        <v>520</v>
      </c>
      <c r="R19" s="13">
        <v>520</v>
      </c>
      <c r="S19" s="13">
        <f t="shared" si="0"/>
        <v>1040</v>
      </c>
      <c r="T19" t="s">
        <v>267</v>
      </c>
    </row>
    <row r="20" spans="1:20" ht="30" customHeight="1" x14ac:dyDescent="0.25">
      <c r="A20" s="260"/>
      <c r="B20" s="36" t="s">
        <v>4</v>
      </c>
      <c r="C20" s="226" t="s">
        <v>283</v>
      </c>
      <c r="D20" s="227"/>
      <c r="E20" s="227"/>
      <c r="F20" s="227"/>
      <c r="G20" s="227"/>
      <c r="H20" s="228"/>
      <c r="I20" s="231" t="s">
        <v>292</v>
      </c>
      <c r="J20" s="231"/>
      <c r="K20" s="232"/>
      <c r="L20" s="63" t="s">
        <v>115</v>
      </c>
      <c r="M20" s="265"/>
      <c r="O20" s="3" t="s">
        <v>4</v>
      </c>
      <c r="P20" s="61" t="s">
        <v>283</v>
      </c>
      <c r="Q20" s="13">
        <v>500</v>
      </c>
      <c r="R20" s="13">
        <v>340</v>
      </c>
      <c r="S20" s="13">
        <f t="shared" si="0"/>
        <v>840</v>
      </c>
      <c r="T20" t="s">
        <v>268</v>
      </c>
    </row>
    <row r="21" spans="1:20" ht="30" customHeight="1" x14ac:dyDescent="0.25">
      <c r="A21" s="260"/>
      <c r="B21" s="36" t="s">
        <v>2</v>
      </c>
      <c r="C21" s="226" t="s">
        <v>284</v>
      </c>
      <c r="D21" s="227"/>
      <c r="E21" s="227"/>
      <c r="F21" s="227"/>
      <c r="G21" s="227"/>
      <c r="H21" s="228"/>
      <c r="I21" s="231" t="s">
        <v>293</v>
      </c>
      <c r="J21" s="231"/>
      <c r="K21" s="232"/>
      <c r="L21" s="63" t="s">
        <v>118</v>
      </c>
      <c r="M21" s="265"/>
      <c r="O21" s="3" t="s">
        <v>2</v>
      </c>
      <c r="P21" s="61" t="s">
        <v>284</v>
      </c>
      <c r="Q21" s="13">
        <v>500</v>
      </c>
      <c r="R21" s="13">
        <v>280</v>
      </c>
      <c r="S21" s="13">
        <f t="shared" si="0"/>
        <v>780</v>
      </c>
      <c r="T21" t="s">
        <v>269</v>
      </c>
    </row>
    <row r="22" spans="1:20" ht="30" customHeight="1" x14ac:dyDescent="0.25">
      <c r="A22" s="260"/>
      <c r="B22" s="36" t="s">
        <v>5</v>
      </c>
      <c r="C22" s="226" t="s">
        <v>279</v>
      </c>
      <c r="D22" s="227"/>
      <c r="E22" s="227"/>
      <c r="F22" s="227"/>
      <c r="G22" s="227"/>
      <c r="H22" s="228"/>
      <c r="I22" s="231" t="s">
        <v>294</v>
      </c>
      <c r="J22" s="231"/>
      <c r="K22" s="232"/>
      <c r="L22" s="62" t="s">
        <v>117</v>
      </c>
      <c r="M22" s="265"/>
      <c r="O22" s="3" t="s">
        <v>5</v>
      </c>
      <c r="P22" s="61" t="s">
        <v>279</v>
      </c>
      <c r="Q22" s="13">
        <v>500</v>
      </c>
      <c r="R22" s="13">
        <v>100</v>
      </c>
      <c r="S22" s="13">
        <f t="shared" si="0"/>
        <v>600</v>
      </c>
      <c r="T22" t="s">
        <v>270</v>
      </c>
    </row>
    <row r="23" spans="1:20" ht="30" customHeight="1" x14ac:dyDescent="0.25">
      <c r="A23" s="260"/>
      <c r="B23" s="36" t="s">
        <v>6</v>
      </c>
      <c r="C23" s="226" t="s">
        <v>282</v>
      </c>
      <c r="D23" s="227"/>
      <c r="E23" s="227"/>
      <c r="F23" s="227"/>
      <c r="G23" s="227"/>
      <c r="H23" s="228"/>
      <c r="I23" s="229" t="s">
        <v>295</v>
      </c>
      <c r="J23" s="229"/>
      <c r="K23" s="230"/>
      <c r="L23" s="65" t="s">
        <v>116</v>
      </c>
      <c r="M23" s="265"/>
      <c r="O23" s="3" t="s">
        <v>6</v>
      </c>
      <c r="P23" s="61" t="s">
        <v>282</v>
      </c>
      <c r="Q23" s="13">
        <v>340</v>
      </c>
      <c r="R23" s="13">
        <v>220</v>
      </c>
      <c r="S23" s="13">
        <f t="shared" si="0"/>
        <v>560</v>
      </c>
      <c r="T23" t="s">
        <v>271</v>
      </c>
    </row>
    <row r="24" spans="1:20" ht="30" customHeight="1" x14ac:dyDescent="0.25">
      <c r="A24" s="260"/>
      <c r="B24" s="36" t="s">
        <v>7</v>
      </c>
      <c r="C24" s="226" t="s">
        <v>278</v>
      </c>
      <c r="D24" s="227"/>
      <c r="E24" s="227"/>
      <c r="F24" s="227"/>
      <c r="G24" s="227"/>
      <c r="H24" s="228"/>
      <c r="I24" s="231" t="s">
        <v>296</v>
      </c>
      <c r="J24" s="231"/>
      <c r="K24" s="232"/>
      <c r="L24" s="65" t="s">
        <v>119</v>
      </c>
      <c r="M24" s="265"/>
      <c r="O24" s="3" t="s">
        <v>7</v>
      </c>
      <c r="P24" s="66" t="s">
        <v>278</v>
      </c>
      <c r="Q24" s="67">
        <v>520</v>
      </c>
      <c r="R24" s="67">
        <v>0</v>
      </c>
      <c r="S24" s="67">
        <f t="shared" si="0"/>
        <v>520</v>
      </c>
      <c r="T24" t="s">
        <v>272</v>
      </c>
    </row>
    <row r="25" spans="1:20" ht="30" customHeight="1" x14ac:dyDescent="0.25">
      <c r="A25" s="260"/>
      <c r="B25" s="36" t="s">
        <v>8</v>
      </c>
      <c r="C25" s="226" t="s">
        <v>289</v>
      </c>
      <c r="D25" s="227"/>
      <c r="E25" s="227"/>
      <c r="F25" s="227"/>
      <c r="G25" s="227"/>
      <c r="H25" s="228"/>
      <c r="I25" s="229" t="s">
        <v>297</v>
      </c>
      <c r="J25" s="229"/>
      <c r="K25" s="230"/>
      <c r="L25" s="62" t="s">
        <v>120</v>
      </c>
      <c r="M25" s="265"/>
      <c r="O25" s="3" t="s">
        <v>8</v>
      </c>
      <c r="P25" s="61" t="s">
        <v>289</v>
      </c>
      <c r="Q25" s="13">
        <v>400</v>
      </c>
      <c r="R25" s="13">
        <v>120</v>
      </c>
      <c r="S25" s="13">
        <f t="shared" si="0"/>
        <v>520</v>
      </c>
      <c r="T25" t="s">
        <v>273</v>
      </c>
    </row>
    <row r="26" spans="1:20" ht="30" customHeight="1" x14ac:dyDescent="0.25">
      <c r="A26" s="260"/>
      <c r="B26" s="36" t="s">
        <v>121</v>
      </c>
      <c r="C26" s="226" t="s">
        <v>280</v>
      </c>
      <c r="D26" s="227"/>
      <c r="E26" s="227"/>
      <c r="F26" s="227"/>
      <c r="G26" s="227"/>
      <c r="H26" s="228"/>
      <c r="I26" s="231" t="s">
        <v>298</v>
      </c>
      <c r="J26" s="231"/>
      <c r="K26" s="232"/>
      <c r="L26" s="63" t="s">
        <v>122</v>
      </c>
      <c r="M26" s="265"/>
      <c r="O26" s="3" t="s">
        <v>121</v>
      </c>
      <c r="P26" s="61" t="s">
        <v>280</v>
      </c>
      <c r="Q26" s="13">
        <v>220</v>
      </c>
      <c r="R26" s="13">
        <v>220</v>
      </c>
      <c r="S26" s="13">
        <f t="shared" si="0"/>
        <v>440</v>
      </c>
      <c r="T26" t="s">
        <v>274</v>
      </c>
    </row>
    <row r="27" spans="1:20" ht="30" customHeight="1" x14ac:dyDescent="0.25">
      <c r="A27" s="260"/>
      <c r="B27" s="68" t="s">
        <v>127</v>
      </c>
      <c r="C27" s="226" t="s">
        <v>287</v>
      </c>
      <c r="D27" s="227"/>
      <c r="E27" s="227"/>
      <c r="F27" s="227"/>
      <c r="G27" s="227"/>
      <c r="H27" s="228"/>
      <c r="I27" s="231" t="s">
        <v>299</v>
      </c>
      <c r="J27" s="231"/>
      <c r="K27" s="232"/>
      <c r="L27" s="63" t="s">
        <v>128</v>
      </c>
      <c r="M27" s="265"/>
      <c r="O27" s="3" t="s">
        <v>127</v>
      </c>
      <c r="P27" s="61" t="s">
        <v>287</v>
      </c>
      <c r="Q27" s="13">
        <v>360</v>
      </c>
      <c r="R27" s="13">
        <v>0</v>
      </c>
      <c r="S27" s="13">
        <f t="shared" si="0"/>
        <v>360</v>
      </c>
      <c r="T27" t="s">
        <v>275</v>
      </c>
    </row>
    <row r="28" spans="1:20" ht="30" customHeight="1" x14ac:dyDescent="0.25">
      <c r="A28" s="260"/>
      <c r="B28" s="36" t="s">
        <v>125</v>
      </c>
      <c r="C28" s="226" t="s">
        <v>285</v>
      </c>
      <c r="D28" s="227"/>
      <c r="E28" s="227"/>
      <c r="F28" s="227"/>
      <c r="G28" s="227"/>
      <c r="H28" s="228"/>
      <c r="I28" s="233" t="s">
        <v>300</v>
      </c>
      <c r="J28" s="233"/>
      <c r="K28" s="234"/>
      <c r="L28" s="62" t="s">
        <v>126</v>
      </c>
      <c r="M28" s="265"/>
      <c r="O28" s="3" t="s">
        <v>125</v>
      </c>
      <c r="P28" s="61" t="s">
        <v>285</v>
      </c>
      <c r="Q28" s="13">
        <v>200</v>
      </c>
      <c r="R28" s="13">
        <v>100</v>
      </c>
      <c r="S28" s="13">
        <f t="shared" si="0"/>
        <v>300</v>
      </c>
      <c r="T28" t="s">
        <v>276</v>
      </c>
    </row>
    <row r="29" spans="1:20" ht="30" customHeight="1" thickBot="1" x14ac:dyDescent="0.3">
      <c r="A29" s="260"/>
      <c r="B29" s="37" t="s">
        <v>123</v>
      </c>
      <c r="C29" s="235" t="s">
        <v>288</v>
      </c>
      <c r="D29" s="236"/>
      <c r="E29" s="236"/>
      <c r="F29" s="236"/>
      <c r="G29" s="236"/>
      <c r="H29" s="237"/>
      <c r="I29" s="238" t="s">
        <v>301</v>
      </c>
      <c r="J29" s="238"/>
      <c r="K29" s="239"/>
      <c r="L29" s="70" t="s">
        <v>124</v>
      </c>
      <c r="M29" s="265"/>
      <c r="O29" s="3" t="s">
        <v>123</v>
      </c>
      <c r="P29" s="61" t="s">
        <v>288</v>
      </c>
      <c r="Q29" s="13">
        <v>220</v>
      </c>
      <c r="R29" s="13">
        <v>0</v>
      </c>
      <c r="S29" s="13">
        <f t="shared" si="0"/>
        <v>220</v>
      </c>
      <c r="T29" t="s">
        <v>277</v>
      </c>
    </row>
    <row r="30" spans="1:20" ht="9.9499999999999993" customHeight="1" thickBot="1" x14ac:dyDescent="0.3">
      <c r="A30" s="261"/>
      <c r="B30" s="177"/>
      <c r="C30" s="177"/>
      <c r="D30" s="177"/>
      <c r="E30" s="177"/>
      <c r="F30" s="177"/>
      <c r="G30" s="177"/>
      <c r="H30" s="177"/>
      <c r="I30" s="177"/>
      <c r="J30" s="177"/>
      <c r="K30" s="177"/>
      <c r="L30" s="177"/>
      <c r="M30" s="178"/>
    </row>
    <row r="31" spans="1:20" ht="9.9499999999999993" customHeight="1" x14ac:dyDescent="0.25">
      <c r="B31" s="225"/>
      <c r="C31" s="225"/>
      <c r="D31" s="225"/>
      <c r="E31" s="225"/>
      <c r="F31" s="225"/>
      <c r="G31" s="225"/>
      <c r="H31" s="225"/>
      <c r="I31" s="225"/>
      <c r="J31" s="225"/>
      <c r="K31" s="225"/>
      <c r="L31" s="225"/>
    </row>
  </sheetData>
  <sortState xmlns:xlrd2="http://schemas.microsoft.com/office/spreadsheetml/2017/richdata2" ref="P18:S29">
    <sortCondition descending="1" ref="S18:S29"/>
  </sortState>
  <mergeCells count="47">
    <mergeCell ref="A1:M1"/>
    <mergeCell ref="A2:A30"/>
    <mergeCell ref="B2:L2"/>
    <mergeCell ref="M2:M30"/>
    <mergeCell ref="B3:L3"/>
    <mergeCell ref="B4:L4"/>
    <mergeCell ref="B5:L5"/>
    <mergeCell ref="B6:L6"/>
    <mergeCell ref="B7:L7"/>
    <mergeCell ref="B8:L8"/>
    <mergeCell ref="C18:H18"/>
    <mergeCell ref="I18:K18"/>
    <mergeCell ref="B9:D9"/>
    <mergeCell ref="E9:E14"/>
    <mergeCell ref="F9:H9"/>
    <mergeCell ref="I9:I14"/>
    <mergeCell ref="J9:L9"/>
    <mergeCell ref="B15:L15"/>
    <mergeCell ref="B16:L16"/>
    <mergeCell ref="O16:S16"/>
    <mergeCell ref="C17:H17"/>
    <mergeCell ref="I17:K17"/>
    <mergeCell ref="O17:P17"/>
    <mergeCell ref="C19:H19"/>
    <mergeCell ref="I19:K19"/>
    <mergeCell ref="C20:H20"/>
    <mergeCell ref="I20:K20"/>
    <mergeCell ref="C21:H21"/>
    <mergeCell ref="I21:K21"/>
    <mergeCell ref="C22:H22"/>
    <mergeCell ref="I22:K22"/>
    <mergeCell ref="C23:H23"/>
    <mergeCell ref="I23:K23"/>
    <mergeCell ref="C24:H24"/>
    <mergeCell ref="I24:K24"/>
    <mergeCell ref="B31:L31"/>
    <mergeCell ref="C25:H25"/>
    <mergeCell ref="I25:K25"/>
    <mergeCell ref="C26:H26"/>
    <mergeCell ref="I26:K26"/>
    <mergeCell ref="C27:H27"/>
    <mergeCell ref="I27:K27"/>
    <mergeCell ref="C28:H28"/>
    <mergeCell ref="I28:K28"/>
    <mergeCell ref="C29:H29"/>
    <mergeCell ref="I29:K29"/>
    <mergeCell ref="B30:L30"/>
  </mergeCells>
  <printOptions horizontalCentered="1" verticalCentered="1"/>
  <pageMargins left="0.19685039370078741" right="0.19685039370078741" top="0.19685039370078741" bottom="0.19685039370078741" header="0.31496062992125984" footer="0.31496062992125984"/>
  <pageSetup paperSize="9" scale="5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D7F8-BF1C-4EB0-8D3C-EEDC71A72F72}">
  <sheetPr>
    <pageSetUpPr fitToPage="1"/>
  </sheetPr>
  <dimension ref="A1:M62"/>
  <sheetViews>
    <sheetView showGridLines="0" topLeftCell="A32" zoomScaleNormal="100" workbookViewId="0">
      <selection activeCell="B39" sqref="B39:L39"/>
    </sheetView>
  </sheetViews>
  <sheetFormatPr defaultRowHeight="15" x14ac:dyDescent="0.25"/>
  <cols>
    <col min="1" max="1" width="1.7109375" customWidth="1"/>
    <col min="2" max="6" width="8.7109375" customWidth="1"/>
    <col min="7" max="7" width="42" bestFit="1" customWidth="1"/>
    <col min="8" max="8" width="10.7109375" style="1" customWidth="1"/>
    <col min="9" max="9" width="6.7109375" customWidth="1"/>
    <col min="10" max="10" width="10.7109375" style="1" customWidth="1"/>
    <col min="11" max="11" width="42" bestFit="1" customWidth="1"/>
    <col min="12" max="12" width="8.7109375" customWidth="1"/>
    <col min="13" max="13" width="1.7109375" customWidth="1"/>
  </cols>
  <sheetData>
    <row r="1" spans="1:13" ht="9.9499999999999993" customHeight="1" thickBot="1" x14ac:dyDescent="0.3">
      <c r="A1" s="192"/>
      <c r="B1" s="193"/>
      <c r="C1" s="193"/>
      <c r="D1" s="193"/>
      <c r="E1" s="193"/>
      <c r="F1" s="193"/>
      <c r="G1" s="193"/>
      <c r="H1" s="193"/>
      <c r="I1" s="193"/>
      <c r="J1" s="193"/>
      <c r="K1" s="193"/>
      <c r="L1" s="193"/>
      <c r="M1" s="194"/>
    </row>
    <row r="2" spans="1:13" ht="60" customHeight="1" thickBot="1" x14ac:dyDescent="0.3">
      <c r="A2" s="309"/>
      <c r="B2" s="262" t="s">
        <v>76</v>
      </c>
      <c r="C2" s="263"/>
      <c r="D2" s="263"/>
      <c r="E2" s="263"/>
      <c r="F2" s="263"/>
      <c r="G2" s="263"/>
      <c r="H2" s="263"/>
      <c r="I2" s="263"/>
      <c r="J2" s="263"/>
      <c r="K2" s="263"/>
      <c r="L2" s="264"/>
      <c r="M2" s="310"/>
    </row>
    <row r="3" spans="1:13" ht="35.1" customHeight="1" thickBot="1" x14ac:dyDescent="0.3">
      <c r="A3" s="309"/>
      <c r="B3" s="304" t="s">
        <v>155</v>
      </c>
      <c r="C3" s="304"/>
      <c r="D3" s="304"/>
      <c r="E3" s="304"/>
      <c r="F3" s="304"/>
      <c r="G3" s="304"/>
      <c r="H3" s="304"/>
      <c r="I3" s="304"/>
      <c r="J3" s="304"/>
      <c r="K3" s="304"/>
      <c r="L3" s="304"/>
      <c r="M3" s="310"/>
    </row>
    <row r="4" spans="1:13" ht="35.1" customHeight="1" thickBot="1" x14ac:dyDescent="0.3">
      <c r="A4" s="309"/>
      <c r="B4" s="305" t="s">
        <v>156</v>
      </c>
      <c r="C4" s="306"/>
      <c r="D4" s="306"/>
      <c r="E4" s="306"/>
      <c r="F4" s="306"/>
      <c r="G4" s="306"/>
      <c r="H4" s="306"/>
      <c r="I4" s="306"/>
      <c r="J4" s="306"/>
      <c r="K4" s="306"/>
      <c r="L4" s="307"/>
      <c r="M4" s="310"/>
    </row>
    <row r="5" spans="1:13" ht="35.1" customHeight="1" thickBot="1" x14ac:dyDescent="0.3">
      <c r="A5" s="309"/>
      <c r="B5" s="308" t="s">
        <v>265</v>
      </c>
      <c r="C5" s="308"/>
      <c r="D5" s="308"/>
      <c r="E5" s="308"/>
      <c r="F5" s="308"/>
      <c r="G5" s="308"/>
      <c r="H5" s="308"/>
      <c r="I5" s="308"/>
      <c r="J5" s="308"/>
      <c r="K5" s="308"/>
      <c r="L5" s="308"/>
      <c r="M5" s="310"/>
    </row>
    <row r="6" spans="1:13" ht="39.950000000000003" customHeight="1" thickBot="1" x14ac:dyDescent="0.3">
      <c r="A6" s="309"/>
      <c r="B6" s="301" t="s">
        <v>23</v>
      </c>
      <c r="C6" s="302"/>
      <c r="D6" s="302"/>
      <c r="E6" s="302"/>
      <c r="F6" s="302"/>
      <c r="G6" s="302"/>
      <c r="H6" s="302"/>
      <c r="I6" s="302"/>
      <c r="J6" s="302"/>
      <c r="K6" s="302"/>
      <c r="L6" s="303"/>
      <c r="M6" s="310"/>
    </row>
    <row r="7" spans="1:13" ht="9.9499999999999993" customHeight="1" thickBot="1" x14ac:dyDescent="0.3">
      <c r="A7" s="309"/>
      <c r="B7" s="293"/>
      <c r="C7" s="293"/>
      <c r="D7" s="293"/>
      <c r="E7" s="293"/>
      <c r="F7" s="293"/>
      <c r="G7" s="293"/>
      <c r="H7" s="293"/>
      <c r="I7" s="293"/>
      <c r="J7" s="293"/>
      <c r="K7" s="293"/>
      <c r="L7" s="293"/>
      <c r="M7" s="310"/>
    </row>
    <row r="8" spans="1:13" ht="30" customHeight="1" thickBot="1" x14ac:dyDescent="0.3">
      <c r="A8" s="309"/>
      <c r="B8" s="294" t="s">
        <v>79</v>
      </c>
      <c r="C8" s="295"/>
      <c r="D8" s="295"/>
      <c r="E8" s="295"/>
      <c r="F8" s="295"/>
      <c r="G8" s="295"/>
      <c r="H8" s="295"/>
      <c r="I8" s="295"/>
      <c r="J8" s="295"/>
      <c r="K8" s="295"/>
      <c r="L8" s="296"/>
      <c r="M8" s="310"/>
    </row>
    <row r="9" spans="1:13" ht="30" customHeight="1" thickBot="1" x14ac:dyDescent="0.3">
      <c r="A9" s="309"/>
      <c r="B9" s="147" t="s">
        <v>9</v>
      </c>
      <c r="C9" s="17" t="s">
        <v>31</v>
      </c>
      <c r="D9" s="17" t="s">
        <v>10</v>
      </c>
      <c r="E9" s="17" t="s">
        <v>11</v>
      </c>
      <c r="F9" s="17" t="s">
        <v>134</v>
      </c>
      <c r="G9" s="17" t="s">
        <v>12</v>
      </c>
      <c r="H9" s="17"/>
      <c r="I9" s="17"/>
      <c r="J9" s="17"/>
      <c r="K9" s="17" t="s">
        <v>13</v>
      </c>
      <c r="L9" s="148" t="s">
        <v>134</v>
      </c>
      <c r="M9" s="310"/>
    </row>
    <row r="10" spans="1:13" ht="30" customHeight="1" x14ac:dyDescent="0.25">
      <c r="A10" s="309"/>
      <c r="B10" s="139">
        <v>1</v>
      </c>
      <c r="C10" s="140" t="s">
        <v>16</v>
      </c>
      <c r="D10" s="141">
        <v>0.375</v>
      </c>
      <c r="E10" s="142"/>
      <c r="F10" s="143" t="s">
        <v>113</v>
      </c>
      <c r="G10" s="144" t="str">
        <f>GRUPOS!C11</f>
        <v>LOBERA/SANDRO GRADICI</v>
      </c>
      <c r="H10" s="145">
        <v>17</v>
      </c>
      <c r="I10" s="145" t="s">
        <v>19</v>
      </c>
      <c r="J10" s="145">
        <v>21</v>
      </c>
      <c r="K10" s="144" t="str">
        <f>GRUPOS!C14</f>
        <v>JUVENAL/ENOCH</v>
      </c>
      <c r="L10" s="146" t="s">
        <v>124</v>
      </c>
      <c r="M10" s="310"/>
    </row>
    <row r="11" spans="1:13" ht="30" customHeight="1" x14ac:dyDescent="0.25">
      <c r="A11" s="309"/>
      <c r="B11" s="74">
        <v>2</v>
      </c>
      <c r="C11" s="22" t="s">
        <v>18</v>
      </c>
      <c r="D11" s="75">
        <v>0.375</v>
      </c>
      <c r="E11" s="75"/>
      <c r="F11" s="23" t="s">
        <v>114</v>
      </c>
      <c r="G11" s="76" t="str">
        <f>GRUPOS!G11</f>
        <v>MARCO RAMOS/JEFF MISERA</v>
      </c>
      <c r="H11" s="23">
        <v>21</v>
      </c>
      <c r="I11" s="23" t="s">
        <v>19</v>
      </c>
      <c r="J11" s="23">
        <v>16</v>
      </c>
      <c r="K11" s="76" t="str">
        <f>GRUPOS!G14</f>
        <v>PAULO CEARÁ/EDUARDO</v>
      </c>
      <c r="L11" s="64" t="s">
        <v>126</v>
      </c>
      <c r="M11" s="310"/>
    </row>
    <row r="12" spans="1:13" ht="30" customHeight="1" thickBot="1" x14ac:dyDescent="0.3">
      <c r="A12" s="309"/>
      <c r="B12" s="24">
        <v>3</v>
      </c>
      <c r="C12" s="25" t="s">
        <v>135</v>
      </c>
      <c r="D12" s="77"/>
      <c r="E12" s="77"/>
      <c r="F12" s="78" t="s">
        <v>115</v>
      </c>
      <c r="G12" s="79" t="str">
        <f>GRUPOS!K11</f>
        <v>FABIANO/LEANDRÃO</v>
      </c>
      <c r="H12" s="26">
        <v>21</v>
      </c>
      <c r="I12" s="26" t="s">
        <v>19</v>
      </c>
      <c r="J12" s="26">
        <v>19</v>
      </c>
      <c r="K12" s="79" t="str">
        <f>GRUPOS!K14</f>
        <v>DIVINO/JÚNIOR SAGRADO</v>
      </c>
      <c r="L12" s="80" t="s">
        <v>128</v>
      </c>
      <c r="M12" s="310"/>
    </row>
    <row r="13" spans="1:13" ht="30" customHeight="1" x14ac:dyDescent="0.25">
      <c r="A13" s="309"/>
      <c r="B13" s="18">
        <v>4</v>
      </c>
      <c r="C13" s="19" t="s">
        <v>16</v>
      </c>
      <c r="D13" s="81"/>
      <c r="E13" s="81"/>
      <c r="F13" s="71" t="s">
        <v>116</v>
      </c>
      <c r="G13" s="72" t="str">
        <f>GRUPOS!C12</f>
        <v>BETO/PRESIDENTE</v>
      </c>
      <c r="H13" s="21">
        <v>21</v>
      </c>
      <c r="I13" s="21" t="s">
        <v>19</v>
      </c>
      <c r="J13" s="21">
        <v>11</v>
      </c>
      <c r="K13" s="72" t="str">
        <f>GRUPOS!C13</f>
        <v>EURÍPEDES/HUMBERTO</v>
      </c>
      <c r="L13" s="73" t="s">
        <v>119</v>
      </c>
      <c r="M13" s="310"/>
    </row>
    <row r="14" spans="1:13" ht="30" customHeight="1" x14ac:dyDescent="0.25">
      <c r="A14" s="309"/>
      <c r="B14" s="74">
        <v>5</v>
      </c>
      <c r="C14" s="22" t="s">
        <v>18</v>
      </c>
      <c r="D14" s="75"/>
      <c r="E14" s="75"/>
      <c r="F14" s="23" t="s">
        <v>117</v>
      </c>
      <c r="G14" s="76" t="str">
        <f>GRUPOS!G12</f>
        <v>IVAN/SANDRO MARINS</v>
      </c>
      <c r="H14" s="23">
        <v>21</v>
      </c>
      <c r="I14" s="23" t="s">
        <v>19</v>
      </c>
      <c r="J14" s="23">
        <v>16</v>
      </c>
      <c r="K14" s="76" t="str">
        <f>GRUPOS!G13</f>
        <v>CHARLLES/MÁRIO</v>
      </c>
      <c r="L14" s="64" t="s">
        <v>120</v>
      </c>
      <c r="M14" s="310"/>
    </row>
    <row r="15" spans="1:13" ht="30" customHeight="1" thickBot="1" x14ac:dyDescent="0.3">
      <c r="A15" s="309"/>
      <c r="B15" s="24">
        <v>6</v>
      </c>
      <c r="C15" s="25" t="s">
        <v>135</v>
      </c>
      <c r="D15" s="77"/>
      <c r="E15" s="77"/>
      <c r="F15" s="26" t="s">
        <v>118</v>
      </c>
      <c r="G15" s="79" t="str">
        <f>GRUPOS!K12</f>
        <v>CLÁUDIO/RENATO</v>
      </c>
      <c r="H15" s="26">
        <v>21</v>
      </c>
      <c r="I15" s="26" t="s">
        <v>19</v>
      </c>
      <c r="J15" s="26">
        <v>5</v>
      </c>
      <c r="K15" s="79" t="str">
        <f>GRUPOS!K13</f>
        <v>CONDOR/GRANDE</v>
      </c>
      <c r="L15" s="69" t="s">
        <v>122</v>
      </c>
      <c r="M15" s="310"/>
    </row>
    <row r="16" spans="1:13" ht="30" customHeight="1" x14ac:dyDescent="0.25">
      <c r="A16" s="309"/>
      <c r="B16" s="82">
        <v>7</v>
      </c>
      <c r="C16" s="19" t="s">
        <v>16</v>
      </c>
      <c r="D16" s="20"/>
      <c r="E16" s="20"/>
      <c r="F16" s="21" t="s">
        <v>113</v>
      </c>
      <c r="G16" s="72" t="str">
        <f>GRUPOS!C11</f>
        <v>LOBERA/SANDRO GRADICI</v>
      </c>
      <c r="H16" s="21">
        <v>12</v>
      </c>
      <c r="I16" s="21" t="s">
        <v>19</v>
      </c>
      <c r="J16" s="21">
        <v>21</v>
      </c>
      <c r="K16" s="72" t="str">
        <f>GRUPOS!C13</f>
        <v>EURÍPEDES/HUMBERTO</v>
      </c>
      <c r="L16" s="83" t="s">
        <v>119</v>
      </c>
      <c r="M16" s="310"/>
    </row>
    <row r="17" spans="1:13" ht="30" customHeight="1" x14ac:dyDescent="0.25">
      <c r="A17" s="309"/>
      <c r="B17" s="74">
        <v>8</v>
      </c>
      <c r="C17" s="22" t="s">
        <v>18</v>
      </c>
      <c r="D17" s="27"/>
      <c r="E17" s="27"/>
      <c r="F17" s="23" t="s">
        <v>114</v>
      </c>
      <c r="G17" s="76" t="str">
        <f>GRUPOS!G11</f>
        <v>MARCO RAMOS/JEFF MISERA</v>
      </c>
      <c r="H17" s="23">
        <v>21</v>
      </c>
      <c r="I17" s="23" t="s">
        <v>19</v>
      </c>
      <c r="J17" s="23">
        <v>18</v>
      </c>
      <c r="K17" s="76" t="str">
        <f>GRUPOS!G13</f>
        <v>CHARLLES/MÁRIO</v>
      </c>
      <c r="L17" s="64" t="s">
        <v>120</v>
      </c>
      <c r="M17" s="310"/>
    </row>
    <row r="18" spans="1:13" ht="30" customHeight="1" thickBot="1" x14ac:dyDescent="0.3">
      <c r="A18" s="309"/>
      <c r="B18" s="84">
        <v>9</v>
      </c>
      <c r="C18" s="25" t="s">
        <v>135</v>
      </c>
      <c r="D18" s="77"/>
      <c r="E18" s="77"/>
      <c r="F18" s="26" t="s">
        <v>115</v>
      </c>
      <c r="G18" s="79" t="str">
        <f>GRUPOS!K11</f>
        <v>FABIANO/LEANDRÃO</v>
      </c>
      <c r="H18" s="26">
        <v>21</v>
      </c>
      <c r="I18" s="26" t="s">
        <v>19</v>
      </c>
      <c r="J18" s="26">
        <v>18</v>
      </c>
      <c r="K18" s="79" t="str">
        <f>GRUPOS!K13</f>
        <v>CONDOR/GRANDE</v>
      </c>
      <c r="L18" s="69" t="s">
        <v>122</v>
      </c>
      <c r="M18" s="310"/>
    </row>
    <row r="19" spans="1:13" ht="30" customHeight="1" x14ac:dyDescent="0.25">
      <c r="A19" s="309"/>
      <c r="B19" s="18">
        <v>10</v>
      </c>
      <c r="C19" s="19" t="s">
        <v>16</v>
      </c>
      <c r="D19" s="20"/>
      <c r="E19" s="20"/>
      <c r="F19" s="21" t="s">
        <v>116</v>
      </c>
      <c r="G19" s="72" t="str">
        <f>GRUPOS!C12</f>
        <v>BETO/PRESIDENTE</v>
      </c>
      <c r="H19" s="21">
        <v>14</v>
      </c>
      <c r="I19" s="21" t="s">
        <v>19</v>
      </c>
      <c r="J19" s="21">
        <v>21</v>
      </c>
      <c r="K19" s="72" t="str">
        <f>GRUPOS!C14</f>
        <v>JUVENAL/ENOCH</v>
      </c>
      <c r="L19" s="83" t="s">
        <v>124</v>
      </c>
      <c r="M19" s="310"/>
    </row>
    <row r="20" spans="1:13" ht="30" customHeight="1" x14ac:dyDescent="0.25">
      <c r="A20" s="309"/>
      <c r="B20" s="74">
        <v>11</v>
      </c>
      <c r="C20" s="22" t="s">
        <v>18</v>
      </c>
      <c r="D20" s="75"/>
      <c r="E20" s="75"/>
      <c r="F20" s="23" t="s">
        <v>117</v>
      </c>
      <c r="G20" s="76" t="str">
        <f>GRUPOS!G12</f>
        <v>IVAN/SANDRO MARINS</v>
      </c>
      <c r="H20" s="23">
        <v>21</v>
      </c>
      <c r="I20" s="23" t="s">
        <v>19</v>
      </c>
      <c r="J20" s="23">
        <v>17</v>
      </c>
      <c r="K20" s="76" t="str">
        <f>GRUPOS!G14</f>
        <v>PAULO CEARÁ/EDUARDO</v>
      </c>
      <c r="L20" s="64" t="s">
        <v>126</v>
      </c>
      <c r="M20" s="310"/>
    </row>
    <row r="21" spans="1:13" ht="30" customHeight="1" thickBot="1" x14ac:dyDescent="0.3">
      <c r="A21" s="309"/>
      <c r="B21" s="84">
        <v>12</v>
      </c>
      <c r="C21" s="25" t="s">
        <v>135</v>
      </c>
      <c r="D21" s="28" t="s">
        <v>136</v>
      </c>
      <c r="E21" s="28"/>
      <c r="F21" s="26" t="s">
        <v>118</v>
      </c>
      <c r="G21" s="79" t="str">
        <f>GRUPOS!K12</f>
        <v>CLÁUDIO/RENATO</v>
      </c>
      <c r="H21" s="26">
        <v>21</v>
      </c>
      <c r="I21" s="26" t="s">
        <v>19</v>
      </c>
      <c r="J21" s="26">
        <v>18</v>
      </c>
      <c r="K21" s="79" t="str">
        <f>GRUPOS!K14</f>
        <v>DIVINO/JÚNIOR SAGRADO</v>
      </c>
      <c r="L21" s="69" t="s">
        <v>128</v>
      </c>
      <c r="M21" s="310"/>
    </row>
    <row r="22" spans="1:13" ht="30" customHeight="1" x14ac:dyDescent="0.25">
      <c r="A22" s="309"/>
      <c r="B22" s="18">
        <v>13</v>
      </c>
      <c r="C22" s="19" t="s">
        <v>16</v>
      </c>
      <c r="D22" s="81"/>
      <c r="E22" s="81"/>
      <c r="F22" s="21" t="s">
        <v>113</v>
      </c>
      <c r="G22" s="72" t="str">
        <f>GRUPOS!C11</f>
        <v>LOBERA/SANDRO GRADICI</v>
      </c>
      <c r="H22" s="21">
        <v>21</v>
      </c>
      <c r="I22" s="21" t="s">
        <v>19</v>
      </c>
      <c r="J22" s="21">
        <v>16</v>
      </c>
      <c r="K22" s="72" t="str">
        <f>GRUPOS!C12</f>
        <v>BETO/PRESIDENTE</v>
      </c>
      <c r="L22" s="83" t="s">
        <v>116</v>
      </c>
      <c r="M22" s="310"/>
    </row>
    <row r="23" spans="1:13" ht="30" customHeight="1" x14ac:dyDescent="0.25">
      <c r="A23" s="309"/>
      <c r="B23" s="74">
        <v>14</v>
      </c>
      <c r="C23" s="22" t="s">
        <v>18</v>
      </c>
      <c r="D23" s="75"/>
      <c r="E23" s="75"/>
      <c r="F23" s="23" t="s">
        <v>114</v>
      </c>
      <c r="G23" s="76" t="str">
        <f>GRUPOS!G11</f>
        <v>MARCO RAMOS/JEFF MISERA</v>
      </c>
      <c r="H23" s="23">
        <v>13</v>
      </c>
      <c r="I23" s="23" t="s">
        <v>19</v>
      </c>
      <c r="J23" s="23">
        <v>21</v>
      </c>
      <c r="K23" s="76" t="str">
        <f>GRUPOS!G12</f>
        <v>IVAN/SANDRO MARINS</v>
      </c>
      <c r="L23" s="64" t="s">
        <v>117</v>
      </c>
      <c r="M23" s="310"/>
    </row>
    <row r="24" spans="1:13" ht="30" customHeight="1" thickBot="1" x14ac:dyDescent="0.3">
      <c r="A24" s="309"/>
      <c r="B24" s="84">
        <v>15</v>
      </c>
      <c r="C24" s="25" t="s">
        <v>135</v>
      </c>
      <c r="D24" s="28"/>
      <c r="E24" s="28"/>
      <c r="F24" s="26" t="s">
        <v>115</v>
      </c>
      <c r="G24" s="79" t="str">
        <f>GRUPOS!K11</f>
        <v>FABIANO/LEANDRÃO</v>
      </c>
      <c r="H24" s="26">
        <v>22</v>
      </c>
      <c r="I24" s="26" t="s">
        <v>19</v>
      </c>
      <c r="J24" s="26">
        <v>20</v>
      </c>
      <c r="K24" s="79" t="str">
        <f>GRUPOS!K12</f>
        <v>CLÁUDIO/RENATO</v>
      </c>
      <c r="L24" s="69" t="s">
        <v>118</v>
      </c>
      <c r="M24" s="310"/>
    </row>
    <row r="25" spans="1:13" ht="30" customHeight="1" x14ac:dyDescent="0.25">
      <c r="A25" s="309"/>
      <c r="B25" s="18">
        <v>16</v>
      </c>
      <c r="C25" s="19" t="s">
        <v>16</v>
      </c>
      <c r="D25" s="20"/>
      <c r="E25" s="20"/>
      <c r="F25" s="21" t="s">
        <v>119</v>
      </c>
      <c r="G25" s="72" t="str">
        <f>GRUPOS!C13</f>
        <v>EURÍPEDES/HUMBERTO</v>
      </c>
      <c r="H25" s="21">
        <v>12</v>
      </c>
      <c r="I25" s="21" t="s">
        <v>19</v>
      </c>
      <c r="J25" s="21">
        <v>21</v>
      </c>
      <c r="K25" s="72" t="str">
        <f>GRUPOS!C14</f>
        <v>JUVENAL/ENOCH</v>
      </c>
      <c r="L25" s="83" t="s">
        <v>124</v>
      </c>
      <c r="M25" s="310"/>
    </row>
    <row r="26" spans="1:13" ht="30" customHeight="1" x14ac:dyDescent="0.25">
      <c r="A26" s="309"/>
      <c r="B26" s="74">
        <v>17</v>
      </c>
      <c r="C26" s="22" t="s">
        <v>18</v>
      </c>
      <c r="D26" s="75"/>
      <c r="E26" s="75"/>
      <c r="F26" s="23" t="s">
        <v>120</v>
      </c>
      <c r="G26" s="76" t="str">
        <f>GRUPOS!G13</f>
        <v>CHARLLES/MÁRIO</v>
      </c>
      <c r="H26" s="23" t="s">
        <v>302</v>
      </c>
      <c r="I26" s="23" t="s">
        <v>19</v>
      </c>
      <c r="J26" s="23">
        <v>0</v>
      </c>
      <c r="K26" s="76" t="str">
        <f>GRUPOS!G14</f>
        <v>PAULO CEARÁ/EDUARDO</v>
      </c>
      <c r="L26" s="64" t="s">
        <v>126</v>
      </c>
      <c r="M26" s="310"/>
    </row>
    <row r="27" spans="1:13" ht="30" customHeight="1" thickBot="1" x14ac:dyDescent="0.3">
      <c r="A27" s="309"/>
      <c r="B27" s="84">
        <v>18</v>
      </c>
      <c r="C27" s="25" t="s">
        <v>135</v>
      </c>
      <c r="D27" s="77"/>
      <c r="E27" s="77"/>
      <c r="F27" s="26" t="s">
        <v>122</v>
      </c>
      <c r="G27" s="79" t="str">
        <f>GRUPOS!K13</f>
        <v>CONDOR/GRANDE</v>
      </c>
      <c r="H27" s="26">
        <v>21</v>
      </c>
      <c r="I27" s="26" t="s">
        <v>19</v>
      </c>
      <c r="J27" s="26">
        <v>14</v>
      </c>
      <c r="K27" s="79" t="str">
        <f>GRUPOS!K14</f>
        <v>DIVINO/JÚNIOR SAGRADO</v>
      </c>
      <c r="L27" s="69" t="s">
        <v>128</v>
      </c>
      <c r="M27" s="310"/>
    </row>
    <row r="28" spans="1:13" ht="9.9499999999999993" customHeight="1" thickBot="1" x14ac:dyDescent="0.3">
      <c r="A28" s="309"/>
      <c r="B28" s="293"/>
      <c r="C28" s="293"/>
      <c r="D28" s="293"/>
      <c r="E28" s="293"/>
      <c r="F28" s="293"/>
      <c r="G28" s="293"/>
      <c r="H28" s="293"/>
      <c r="I28" s="293"/>
      <c r="J28" s="293"/>
      <c r="K28" s="293"/>
      <c r="L28" s="293"/>
      <c r="M28" s="310"/>
    </row>
    <row r="29" spans="1:13" ht="30" customHeight="1" thickBot="1" x14ac:dyDescent="0.3">
      <c r="A29" s="309"/>
      <c r="B29" s="294" t="s">
        <v>93</v>
      </c>
      <c r="C29" s="295"/>
      <c r="D29" s="295"/>
      <c r="E29" s="295"/>
      <c r="F29" s="295"/>
      <c r="G29" s="295"/>
      <c r="H29" s="295"/>
      <c r="I29" s="295"/>
      <c r="J29" s="295"/>
      <c r="K29" s="295"/>
      <c r="L29" s="296"/>
      <c r="M29" s="310"/>
    </row>
    <row r="30" spans="1:13" ht="30" customHeight="1" x14ac:dyDescent="0.25">
      <c r="A30" s="309"/>
      <c r="B30" s="18">
        <v>19</v>
      </c>
      <c r="C30" s="29" t="s">
        <v>72</v>
      </c>
      <c r="D30" s="20"/>
      <c r="E30" s="113"/>
      <c r="F30" s="85" t="s">
        <v>1</v>
      </c>
      <c r="G30" s="120" t="str">
        <f>'AVERAGE '!C45</f>
        <v>JUVENAL/ENOCH</v>
      </c>
      <c r="H30" s="21">
        <v>15</v>
      </c>
      <c r="I30" s="21" t="s">
        <v>19</v>
      </c>
      <c r="J30" s="21">
        <v>21</v>
      </c>
      <c r="K30" s="123" t="str">
        <f>'AVERAGE '!C52</f>
        <v>CHARLLES/MÁRIO</v>
      </c>
      <c r="L30" s="86" t="s">
        <v>8</v>
      </c>
      <c r="M30" s="310"/>
    </row>
    <row r="31" spans="1:13" ht="30" customHeight="1" x14ac:dyDescent="0.25">
      <c r="A31" s="309"/>
      <c r="B31" s="30">
        <v>20</v>
      </c>
      <c r="C31" s="31" t="s">
        <v>72</v>
      </c>
      <c r="D31" s="27"/>
      <c r="E31" s="114"/>
      <c r="F31" s="87" t="s">
        <v>2</v>
      </c>
      <c r="G31" s="121" t="str">
        <f>'AVERAGE '!C48</f>
        <v>CLÁUDIO/RENATO</v>
      </c>
      <c r="H31" s="23">
        <v>21</v>
      </c>
      <c r="I31" s="23" t="s">
        <v>19</v>
      </c>
      <c r="J31" s="23">
        <v>18</v>
      </c>
      <c r="K31" s="124" t="str">
        <f>'AVERAGE '!C49</f>
        <v>MARCO RAMOS/JEFF MISERA</v>
      </c>
      <c r="L31" s="88" t="s">
        <v>5</v>
      </c>
      <c r="M31" s="310"/>
    </row>
    <row r="32" spans="1:13" ht="30" customHeight="1" x14ac:dyDescent="0.25">
      <c r="A32" s="309"/>
      <c r="B32" s="30">
        <v>21</v>
      </c>
      <c r="C32" s="31" t="s">
        <v>72</v>
      </c>
      <c r="D32" s="27"/>
      <c r="E32" s="114"/>
      <c r="F32" s="87" t="s">
        <v>3</v>
      </c>
      <c r="G32" s="121" t="str">
        <f>'AVERAGE '!C46</f>
        <v>IVAN/SANDRO MARINS</v>
      </c>
      <c r="H32" s="23">
        <v>21</v>
      </c>
      <c r="I32" s="23" t="s">
        <v>19</v>
      </c>
      <c r="J32" s="23">
        <v>18</v>
      </c>
      <c r="K32" s="124" t="str">
        <f>'AVERAGE '!C51</f>
        <v>LOBERA/SANDRO GRADICI</v>
      </c>
      <c r="L32" s="88" t="s">
        <v>7</v>
      </c>
      <c r="M32" s="310"/>
    </row>
    <row r="33" spans="1:13" ht="30" customHeight="1" thickBot="1" x14ac:dyDescent="0.3">
      <c r="A33" s="309"/>
      <c r="B33" s="24">
        <v>22</v>
      </c>
      <c r="C33" s="32" t="s">
        <v>72</v>
      </c>
      <c r="D33" s="28"/>
      <c r="E33" s="115"/>
      <c r="F33" s="89" t="s">
        <v>4</v>
      </c>
      <c r="G33" s="122" t="str">
        <f>'AVERAGE '!C47</f>
        <v>FABIANO/LEANDRÃO</v>
      </c>
      <c r="H33" s="26">
        <v>21</v>
      </c>
      <c r="I33" s="26" t="s">
        <v>19</v>
      </c>
      <c r="J33" s="26">
        <v>12</v>
      </c>
      <c r="K33" s="125" t="str">
        <f>'AVERAGE '!C50</f>
        <v>BETO/PRESIDENTE</v>
      </c>
      <c r="L33" s="90" t="s">
        <v>6</v>
      </c>
      <c r="M33" s="310"/>
    </row>
    <row r="34" spans="1:13" ht="9.9499999999999993" customHeight="1" thickBot="1" x14ac:dyDescent="0.3">
      <c r="A34" s="309"/>
      <c r="B34" s="293"/>
      <c r="C34" s="293"/>
      <c r="D34" s="293"/>
      <c r="E34" s="293"/>
      <c r="F34" s="293"/>
      <c r="G34" s="293"/>
      <c r="H34" s="293"/>
      <c r="I34" s="293"/>
      <c r="J34" s="293"/>
      <c r="K34" s="293"/>
      <c r="L34" s="293"/>
      <c r="M34" s="310"/>
    </row>
    <row r="35" spans="1:13" ht="30" customHeight="1" thickBot="1" x14ac:dyDescent="0.3">
      <c r="A35" s="309"/>
      <c r="B35" s="297" t="s">
        <v>44</v>
      </c>
      <c r="C35" s="298"/>
      <c r="D35" s="298"/>
      <c r="E35" s="298"/>
      <c r="F35" s="298"/>
      <c r="G35" s="298"/>
      <c r="H35" s="298"/>
      <c r="I35" s="298"/>
      <c r="J35" s="298"/>
      <c r="K35" s="298"/>
      <c r="L35" s="299"/>
      <c r="M35" s="310"/>
    </row>
    <row r="36" spans="1:13" ht="30" customHeight="1" x14ac:dyDescent="0.25">
      <c r="A36" s="309"/>
      <c r="B36" s="18">
        <v>23</v>
      </c>
      <c r="C36" s="29" t="s">
        <v>73</v>
      </c>
      <c r="D36" s="20"/>
      <c r="E36" s="126"/>
      <c r="F36" s="85" t="s">
        <v>137</v>
      </c>
      <c r="G36" s="120" t="s">
        <v>289</v>
      </c>
      <c r="H36" s="21">
        <v>21</v>
      </c>
      <c r="I36" s="29" t="s">
        <v>19</v>
      </c>
      <c r="J36" s="21">
        <v>18</v>
      </c>
      <c r="K36" s="128" t="s">
        <v>284</v>
      </c>
      <c r="L36" s="85" t="s">
        <v>138</v>
      </c>
      <c r="M36" s="310"/>
    </row>
    <row r="37" spans="1:13" ht="30" customHeight="1" thickBot="1" x14ac:dyDescent="0.3">
      <c r="A37" s="309"/>
      <c r="B37" s="24">
        <v>24</v>
      </c>
      <c r="C37" s="32" t="s">
        <v>73</v>
      </c>
      <c r="D37" s="28"/>
      <c r="E37" s="127"/>
      <c r="F37" s="89" t="s">
        <v>139</v>
      </c>
      <c r="G37" s="122" t="s">
        <v>279</v>
      </c>
      <c r="H37" s="26">
        <v>15</v>
      </c>
      <c r="I37" s="32" t="s">
        <v>19</v>
      </c>
      <c r="J37" s="26">
        <v>21</v>
      </c>
      <c r="K37" s="129" t="s">
        <v>283</v>
      </c>
      <c r="L37" s="89" t="s">
        <v>140</v>
      </c>
      <c r="M37" s="310"/>
    </row>
    <row r="38" spans="1:13" ht="9.9499999999999993" customHeight="1" thickBot="1" x14ac:dyDescent="0.3">
      <c r="A38" s="309"/>
      <c r="B38" s="300"/>
      <c r="C38" s="300"/>
      <c r="D38" s="300"/>
      <c r="E38" s="300"/>
      <c r="F38" s="300"/>
      <c r="G38" s="300"/>
      <c r="H38" s="300"/>
      <c r="I38" s="300"/>
      <c r="J38" s="300"/>
      <c r="K38" s="300"/>
      <c r="L38" s="300"/>
      <c r="M38" s="310"/>
    </row>
    <row r="39" spans="1:13" ht="30" customHeight="1" thickBot="1" x14ac:dyDescent="0.3">
      <c r="A39" s="309"/>
      <c r="B39" s="294" t="s">
        <v>141</v>
      </c>
      <c r="C39" s="295"/>
      <c r="D39" s="295"/>
      <c r="E39" s="295"/>
      <c r="F39" s="295"/>
      <c r="G39" s="295"/>
      <c r="H39" s="295"/>
      <c r="I39" s="295"/>
      <c r="J39" s="295"/>
      <c r="K39" s="295"/>
      <c r="L39" s="296"/>
      <c r="M39" s="310"/>
    </row>
    <row r="40" spans="1:13" ht="30" customHeight="1" thickBot="1" x14ac:dyDescent="0.3">
      <c r="A40" s="309"/>
      <c r="B40" s="33">
        <v>25</v>
      </c>
      <c r="C40" s="17" t="s">
        <v>74</v>
      </c>
      <c r="D40" s="34"/>
      <c r="E40" s="91"/>
      <c r="F40" s="92" t="s">
        <v>142</v>
      </c>
      <c r="G40" s="122" t="s">
        <v>279</v>
      </c>
      <c r="H40" s="35">
        <v>15</v>
      </c>
      <c r="I40" s="17" t="s">
        <v>19</v>
      </c>
      <c r="J40" s="35">
        <v>21</v>
      </c>
      <c r="K40" s="128" t="s">
        <v>284</v>
      </c>
      <c r="L40" s="92" t="s">
        <v>143</v>
      </c>
      <c r="M40" s="310"/>
    </row>
    <row r="41" spans="1:13" ht="9.9499999999999993" customHeight="1" thickBot="1" x14ac:dyDescent="0.3">
      <c r="A41" s="309"/>
      <c r="B41" s="293"/>
      <c r="C41" s="293"/>
      <c r="D41" s="293"/>
      <c r="E41" s="293"/>
      <c r="F41" s="293"/>
      <c r="G41" s="293"/>
      <c r="H41" s="293"/>
      <c r="I41" s="293"/>
      <c r="J41" s="293"/>
      <c r="K41" s="293"/>
      <c r="L41" s="293"/>
      <c r="M41" s="310"/>
    </row>
    <row r="42" spans="1:13" ht="30" customHeight="1" thickBot="1" x14ac:dyDescent="0.3">
      <c r="A42" s="309"/>
      <c r="B42" s="294" t="s">
        <v>78</v>
      </c>
      <c r="C42" s="295"/>
      <c r="D42" s="295"/>
      <c r="E42" s="295"/>
      <c r="F42" s="295"/>
      <c r="G42" s="295"/>
      <c r="H42" s="295"/>
      <c r="I42" s="295"/>
      <c r="J42" s="295"/>
      <c r="K42" s="295"/>
      <c r="L42" s="296"/>
      <c r="M42" s="310"/>
    </row>
    <row r="43" spans="1:13" ht="30" customHeight="1" thickBot="1" x14ac:dyDescent="0.3">
      <c r="A43" s="309"/>
      <c r="B43" s="33">
        <v>26</v>
      </c>
      <c r="C43" s="17" t="s">
        <v>75</v>
      </c>
      <c r="D43" s="34"/>
      <c r="E43" s="91"/>
      <c r="F43" s="92" t="s">
        <v>144</v>
      </c>
      <c r="G43" s="153" t="s">
        <v>289</v>
      </c>
      <c r="H43" s="35">
        <v>1</v>
      </c>
      <c r="I43" s="17" t="s">
        <v>19</v>
      </c>
      <c r="J43" s="35">
        <v>2</v>
      </c>
      <c r="K43" s="154" t="s">
        <v>283</v>
      </c>
      <c r="L43" s="92" t="s">
        <v>145</v>
      </c>
      <c r="M43" s="310"/>
    </row>
    <row r="44" spans="1:13" ht="9.9499999999999993" customHeight="1" thickBot="1" x14ac:dyDescent="0.3">
      <c r="A44" s="290"/>
      <c r="B44" s="291"/>
      <c r="C44" s="291"/>
      <c r="D44" s="291"/>
      <c r="E44" s="291"/>
      <c r="F44" s="291"/>
      <c r="G44" s="291"/>
      <c r="H44" s="291"/>
      <c r="I44" s="291"/>
      <c r="J44" s="291"/>
      <c r="K44" s="291"/>
      <c r="L44" s="291"/>
      <c r="M44" s="292"/>
    </row>
    <row r="46" spans="1:13" ht="30" customHeight="1" x14ac:dyDescent="0.25">
      <c r="H46"/>
      <c r="J46"/>
    </row>
    <row r="47" spans="1:13" ht="30" customHeight="1" x14ac:dyDescent="0.25">
      <c r="H47"/>
      <c r="J47"/>
    </row>
    <row r="48" spans="1:13" ht="30" customHeight="1" x14ac:dyDescent="0.25">
      <c r="H48"/>
      <c r="J48"/>
    </row>
    <row r="49" spans="8:10" ht="30" customHeight="1" x14ac:dyDescent="0.25">
      <c r="H49"/>
      <c r="J49"/>
    </row>
    <row r="50" spans="8:10" ht="30" customHeight="1" x14ac:dyDescent="0.25">
      <c r="H50"/>
      <c r="J50"/>
    </row>
    <row r="51" spans="8:10" ht="30" customHeight="1" x14ac:dyDescent="0.25">
      <c r="H51"/>
      <c r="J51"/>
    </row>
    <row r="52" spans="8:10" ht="30" customHeight="1" x14ac:dyDescent="0.25">
      <c r="H52"/>
      <c r="J52"/>
    </row>
    <row r="53" spans="8:10" ht="30" customHeight="1" x14ac:dyDescent="0.25">
      <c r="H53"/>
      <c r="J53"/>
    </row>
    <row r="54" spans="8:10" ht="30" customHeight="1" x14ac:dyDescent="0.25">
      <c r="H54"/>
      <c r="J54"/>
    </row>
    <row r="55" spans="8:10" ht="30" customHeight="1" x14ac:dyDescent="0.25">
      <c r="H55"/>
      <c r="J55"/>
    </row>
    <row r="56" spans="8:10" ht="30" customHeight="1" x14ac:dyDescent="0.25">
      <c r="H56"/>
      <c r="J56"/>
    </row>
    <row r="57" spans="8:10" ht="30" customHeight="1" x14ac:dyDescent="0.25">
      <c r="H57"/>
      <c r="J57"/>
    </row>
    <row r="58" spans="8:10" ht="30" customHeight="1" x14ac:dyDescent="0.25"/>
    <row r="59" spans="8:10" ht="30" customHeight="1" x14ac:dyDescent="0.25"/>
    <row r="60" spans="8:10" ht="30" customHeight="1" x14ac:dyDescent="0.25"/>
    <row r="61" spans="8:10" ht="30" customHeight="1" x14ac:dyDescent="0.25"/>
    <row r="62" spans="8:10" ht="30" customHeight="1" x14ac:dyDescent="0.25"/>
  </sheetData>
  <mergeCells count="19">
    <mergeCell ref="B6:L6"/>
    <mergeCell ref="A1:M1"/>
    <mergeCell ref="B2:L2"/>
    <mergeCell ref="B3:L3"/>
    <mergeCell ref="B4:L4"/>
    <mergeCell ref="B5:L5"/>
    <mergeCell ref="A2:A43"/>
    <mergeCell ref="M2:M43"/>
    <mergeCell ref="B41:L41"/>
    <mergeCell ref="B42:L42"/>
    <mergeCell ref="A44:M44"/>
    <mergeCell ref="B7:L7"/>
    <mergeCell ref="B8:L8"/>
    <mergeCell ref="B28:L28"/>
    <mergeCell ref="B29:L29"/>
    <mergeCell ref="B34:L34"/>
    <mergeCell ref="B35:L35"/>
    <mergeCell ref="B38:L38"/>
    <mergeCell ref="B39:L39"/>
  </mergeCells>
  <printOptions horizontalCentered="1" verticalCentered="1"/>
  <pageMargins left="0.19685039370078741" right="0.19685039370078741" top="0.19685039370078741" bottom="0.19685039370078741" header="0" footer="0"/>
  <pageSetup paperSize="9" scale="5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A0056-9304-4A49-B8A8-DC805943D845}">
  <sheetPr>
    <pageSetUpPr fitToPage="1"/>
  </sheetPr>
  <dimension ref="A1:Q63"/>
  <sheetViews>
    <sheetView showGridLines="0" topLeftCell="A26" zoomScale="87" zoomScaleNormal="87" workbookViewId="0">
      <selection activeCell="C51" sqref="C51:J51"/>
    </sheetView>
  </sheetViews>
  <sheetFormatPr defaultRowHeight="15" x14ac:dyDescent="0.25"/>
  <cols>
    <col min="1" max="1" width="1.7109375" customWidth="1"/>
    <col min="2" max="2" width="27.42578125" bestFit="1" customWidth="1"/>
    <col min="3" max="4" width="8.7109375" customWidth="1"/>
    <col min="5" max="5" width="1.7109375" customWidth="1"/>
    <col min="6" max="6" width="32.5703125" bestFit="1" customWidth="1"/>
    <col min="7" max="8" width="8.7109375" customWidth="1"/>
    <col min="9" max="9" width="1.7109375" customWidth="1"/>
    <col min="10" max="10" width="27.85546875" customWidth="1"/>
    <col min="11" max="12" width="8.7109375" customWidth="1"/>
    <col min="13" max="13" width="1.7109375" customWidth="1"/>
    <col min="14" max="14" width="27.7109375" bestFit="1" customWidth="1"/>
    <col min="15" max="16" width="8.7109375" customWidth="1"/>
    <col min="17" max="17" width="1.7109375" customWidth="1"/>
  </cols>
  <sheetData>
    <row r="1" spans="1:17" ht="9.9499999999999993" customHeight="1" thickBot="1" x14ac:dyDescent="0.3">
      <c r="A1" s="257"/>
      <c r="B1" s="258"/>
      <c r="C1" s="258"/>
      <c r="D1" s="258"/>
      <c r="E1" s="258"/>
      <c r="F1" s="258"/>
      <c r="G1" s="258"/>
      <c r="H1" s="258"/>
      <c r="I1" s="258"/>
      <c r="J1" s="258"/>
      <c r="K1" s="258"/>
      <c r="L1" s="258"/>
      <c r="M1" s="258"/>
      <c r="N1" s="258"/>
      <c r="O1" s="258"/>
      <c r="P1" s="258"/>
      <c r="Q1" s="259"/>
    </row>
    <row r="2" spans="1:17" ht="60" customHeight="1" thickBot="1" x14ac:dyDescent="0.3">
      <c r="A2" s="390"/>
      <c r="B2" s="376" t="s">
        <v>76</v>
      </c>
      <c r="C2" s="377"/>
      <c r="D2" s="377"/>
      <c r="E2" s="377"/>
      <c r="F2" s="377"/>
      <c r="G2" s="377"/>
      <c r="H2" s="377"/>
      <c r="I2" s="377"/>
      <c r="J2" s="377"/>
      <c r="K2" s="377"/>
      <c r="L2" s="377"/>
      <c r="M2" s="377"/>
      <c r="N2" s="377"/>
      <c r="O2" s="377"/>
      <c r="P2" s="378"/>
      <c r="Q2" s="379"/>
    </row>
    <row r="3" spans="1:17" ht="35.1" customHeight="1" thickBot="1" x14ac:dyDescent="0.3">
      <c r="A3" s="390"/>
      <c r="B3" s="381" t="s">
        <v>155</v>
      </c>
      <c r="C3" s="381"/>
      <c r="D3" s="381"/>
      <c r="E3" s="381"/>
      <c r="F3" s="381"/>
      <c r="G3" s="381"/>
      <c r="H3" s="381"/>
      <c r="I3" s="381"/>
      <c r="J3" s="381"/>
      <c r="K3" s="381"/>
      <c r="L3" s="381"/>
      <c r="M3" s="381"/>
      <c r="N3" s="381"/>
      <c r="O3" s="381"/>
      <c r="P3" s="381"/>
      <c r="Q3" s="379"/>
    </row>
    <row r="4" spans="1:17" ht="35.1" customHeight="1" thickBot="1" x14ac:dyDescent="0.3">
      <c r="A4" s="390"/>
      <c r="B4" s="382" t="s">
        <v>156</v>
      </c>
      <c r="C4" s="383"/>
      <c r="D4" s="383"/>
      <c r="E4" s="383"/>
      <c r="F4" s="383"/>
      <c r="G4" s="383"/>
      <c r="H4" s="383"/>
      <c r="I4" s="383"/>
      <c r="J4" s="383"/>
      <c r="K4" s="383"/>
      <c r="L4" s="383"/>
      <c r="M4" s="383"/>
      <c r="N4" s="383"/>
      <c r="O4" s="383"/>
      <c r="P4" s="384"/>
      <c r="Q4" s="379"/>
    </row>
    <row r="5" spans="1:17" ht="35.1" customHeight="1" thickBot="1" x14ac:dyDescent="0.3">
      <c r="A5" s="390"/>
      <c r="B5" s="385" t="s">
        <v>265</v>
      </c>
      <c r="C5" s="385"/>
      <c r="D5" s="385"/>
      <c r="E5" s="385"/>
      <c r="F5" s="385"/>
      <c r="G5" s="385"/>
      <c r="H5" s="385"/>
      <c r="I5" s="385"/>
      <c r="J5" s="385"/>
      <c r="K5" s="385"/>
      <c r="L5" s="385"/>
      <c r="M5" s="385"/>
      <c r="N5" s="385"/>
      <c r="O5" s="385"/>
      <c r="P5" s="385"/>
      <c r="Q5" s="379"/>
    </row>
    <row r="6" spans="1:17" ht="24.95" customHeight="1" thickBot="1" x14ac:dyDescent="0.3">
      <c r="A6" s="390"/>
      <c r="B6" s="386" t="s">
        <v>20</v>
      </c>
      <c r="C6" s="387"/>
      <c r="D6" s="387"/>
      <c r="E6" s="387"/>
      <c r="F6" s="387"/>
      <c r="G6" s="387"/>
      <c r="H6" s="387"/>
      <c r="I6" s="387"/>
      <c r="J6" s="387"/>
      <c r="K6" s="387"/>
      <c r="L6" s="387"/>
      <c r="M6" s="387"/>
      <c r="N6" s="387"/>
      <c r="O6" s="387"/>
      <c r="P6" s="388"/>
      <c r="Q6" s="379"/>
    </row>
    <row r="7" spans="1:17" ht="9.9499999999999993" customHeight="1" thickBot="1" x14ac:dyDescent="0.3">
      <c r="A7" s="391"/>
      <c r="B7" s="389"/>
      <c r="C7" s="389"/>
      <c r="D7" s="389"/>
      <c r="E7" s="389"/>
      <c r="F7" s="389"/>
      <c r="G7" s="389"/>
      <c r="H7" s="389"/>
      <c r="I7" s="389"/>
      <c r="J7" s="389"/>
      <c r="K7" s="389"/>
      <c r="L7" s="389"/>
      <c r="M7" s="389"/>
      <c r="N7" s="389"/>
      <c r="O7" s="389"/>
      <c r="P7" s="389"/>
      <c r="Q7" s="380"/>
    </row>
    <row r="8" spans="1:17" ht="5.0999999999999996" customHeight="1" thickBot="1" x14ac:dyDescent="0.3">
      <c r="A8" s="93"/>
      <c r="B8" s="94"/>
      <c r="C8" s="94"/>
      <c r="D8" s="94"/>
      <c r="E8" s="94"/>
      <c r="F8" s="94"/>
      <c r="G8" s="94"/>
      <c r="H8" s="94"/>
      <c r="I8" s="94"/>
      <c r="J8" s="94"/>
      <c r="K8" s="94"/>
      <c r="L8" s="94"/>
      <c r="M8" s="94"/>
      <c r="N8" s="94"/>
      <c r="O8" s="94"/>
      <c r="P8" s="94"/>
      <c r="Q8" s="2"/>
    </row>
    <row r="9" spans="1:17" ht="9.9499999999999993" customHeight="1" thickBot="1" x14ac:dyDescent="0.3">
      <c r="A9" s="352"/>
      <c r="B9" s="353"/>
      <c r="C9" s="353"/>
      <c r="D9" s="353"/>
      <c r="E9" s="353"/>
      <c r="F9" s="353"/>
      <c r="G9" s="353"/>
      <c r="H9" s="353"/>
      <c r="I9" s="353"/>
      <c r="J9" s="353"/>
      <c r="K9" s="353"/>
      <c r="L9" s="353"/>
      <c r="M9" s="353"/>
      <c r="N9" s="353"/>
      <c r="O9" s="353"/>
      <c r="P9" s="353"/>
      <c r="Q9" s="354"/>
    </row>
    <row r="10" spans="1:17" ht="20.100000000000001" customHeight="1" thickBot="1" x14ac:dyDescent="0.3">
      <c r="A10" s="362"/>
      <c r="B10" s="372" t="s">
        <v>32</v>
      </c>
      <c r="C10" s="373"/>
      <c r="D10" s="373"/>
      <c r="E10" s="373"/>
      <c r="F10" s="373"/>
      <c r="G10" s="373"/>
      <c r="H10" s="373"/>
      <c r="I10" s="373"/>
      <c r="J10" s="373"/>
      <c r="K10" s="373"/>
      <c r="L10" s="373"/>
      <c r="M10" s="373"/>
      <c r="N10" s="373"/>
      <c r="O10" s="373"/>
      <c r="P10" s="374"/>
      <c r="Q10" s="265"/>
    </row>
    <row r="11" spans="1:17" ht="9.9499999999999993" customHeight="1" thickBot="1" x14ac:dyDescent="0.3">
      <c r="A11" s="362"/>
      <c r="B11" s="371"/>
      <c r="C11" s="371"/>
      <c r="D11" s="371"/>
      <c r="E11" s="371"/>
      <c r="F11" s="371"/>
      <c r="G11" s="371"/>
      <c r="H11" s="371"/>
      <c r="I11" s="371"/>
      <c r="J11" s="371"/>
      <c r="K11" s="371"/>
      <c r="L11" s="371"/>
      <c r="M11" s="371"/>
      <c r="N11" s="371"/>
      <c r="O11" s="371"/>
      <c r="P11" s="371"/>
      <c r="Q11" s="265"/>
    </row>
    <row r="12" spans="1:17" ht="20.100000000000001" customHeight="1" thickBot="1" x14ac:dyDescent="0.3">
      <c r="A12" s="362"/>
      <c r="B12" s="95" t="str">
        <f>GRUPOS!C11</f>
        <v>LOBERA/SANDRO GRADICI</v>
      </c>
      <c r="C12" s="96" t="s">
        <v>14</v>
      </c>
      <c r="D12" s="97" t="s">
        <v>15</v>
      </c>
      <c r="E12" s="367"/>
      <c r="F12" s="95" t="str">
        <f>GRUPOS!C12</f>
        <v>BETO/PRESIDENTE</v>
      </c>
      <c r="G12" s="98" t="s">
        <v>14</v>
      </c>
      <c r="H12" s="99" t="s">
        <v>15</v>
      </c>
      <c r="I12" s="375" t="s">
        <v>146</v>
      </c>
      <c r="J12" s="95" t="str">
        <f>GRUPOS!C13</f>
        <v>EURÍPEDES/HUMBERTO</v>
      </c>
      <c r="K12" s="96" t="s">
        <v>14</v>
      </c>
      <c r="L12" s="97" t="s">
        <v>15</v>
      </c>
      <c r="M12" s="367"/>
      <c r="N12" s="95" t="str">
        <f>GRUPOS!C14</f>
        <v>JUVENAL/ENOCH</v>
      </c>
      <c r="O12" s="98" t="s">
        <v>14</v>
      </c>
      <c r="P12" s="99" t="s">
        <v>15</v>
      </c>
      <c r="Q12" s="265"/>
    </row>
    <row r="13" spans="1:17" ht="20.100000000000001" customHeight="1" x14ac:dyDescent="0.25">
      <c r="A13" s="362"/>
      <c r="B13" s="100">
        <v>1</v>
      </c>
      <c r="C13" s="3">
        <f>TABELA!H10</f>
        <v>17</v>
      </c>
      <c r="D13" s="101">
        <f>TABELA!J10</f>
        <v>21</v>
      </c>
      <c r="E13" s="367"/>
      <c r="F13" s="100">
        <v>1</v>
      </c>
      <c r="G13" s="152">
        <f>TABELA!H13</f>
        <v>21</v>
      </c>
      <c r="H13" s="101">
        <f>TABELA!J13</f>
        <v>11</v>
      </c>
      <c r="I13" s="359"/>
      <c r="J13" s="100">
        <v>1</v>
      </c>
      <c r="K13" s="3">
        <f>TABELA!J13</f>
        <v>11</v>
      </c>
      <c r="L13" s="101">
        <f>TABELA!H13</f>
        <v>21</v>
      </c>
      <c r="M13" s="367"/>
      <c r="N13" s="100">
        <v>1</v>
      </c>
      <c r="O13" s="152">
        <f>TABELA!J10</f>
        <v>21</v>
      </c>
      <c r="P13" s="101">
        <f>TABELA!H10</f>
        <v>17</v>
      </c>
      <c r="Q13" s="265"/>
    </row>
    <row r="14" spans="1:17" ht="20.100000000000001" customHeight="1" x14ac:dyDescent="0.25">
      <c r="A14" s="362"/>
      <c r="B14" s="103">
        <v>2</v>
      </c>
      <c r="C14" s="3">
        <f>TABELA!H16</f>
        <v>12</v>
      </c>
      <c r="D14" s="101">
        <f>TABELA!J16</f>
        <v>21</v>
      </c>
      <c r="E14" s="367"/>
      <c r="F14" s="103">
        <v>2</v>
      </c>
      <c r="G14" s="3">
        <f>TABELA!H19</f>
        <v>14</v>
      </c>
      <c r="H14" s="101">
        <f>TABELA!J19</f>
        <v>21</v>
      </c>
      <c r="I14" s="359"/>
      <c r="J14" s="103">
        <v>2</v>
      </c>
      <c r="K14" s="152">
        <f>TABELA!J16</f>
        <v>21</v>
      </c>
      <c r="L14" s="101">
        <f>TABELA!H16</f>
        <v>12</v>
      </c>
      <c r="M14" s="367"/>
      <c r="N14" s="103">
        <v>2</v>
      </c>
      <c r="O14" s="152">
        <f>TABELA!J19</f>
        <v>21</v>
      </c>
      <c r="P14" s="101">
        <f>TABELA!H19</f>
        <v>14</v>
      </c>
      <c r="Q14" s="265"/>
    </row>
    <row r="15" spans="1:17" ht="20.100000000000001" customHeight="1" x14ac:dyDescent="0.25">
      <c r="A15" s="362"/>
      <c r="B15" s="103">
        <v>3</v>
      </c>
      <c r="C15" s="152">
        <f>TABELA!H22</f>
        <v>21</v>
      </c>
      <c r="D15" s="101">
        <f>TABELA!J22</f>
        <v>16</v>
      </c>
      <c r="E15" s="367"/>
      <c r="F15" s="103">
        <v>3</v>
      </c>
      <c r="G15" s="3">
        <f>TABELA!J22</f>
        <v>16</v>
      </c>
      <c r="H15" s="101">
        <f>TABELA!H22</f>
        <v>21</v>
      </c>
      <c r="I15" s="359"/>
      <c r="J15" s="103">
        <v>3</v>
      </c>
      <c r="K15" s="3">
        <f>TABELA!H25</f>
        <v>12</v>
      </c>
      <c r="L15" s="101">
        <f>TABELA!J25</f>
        <v>21</v>
      </c>
      <c r="M15" s="367"/>
      <c r="N15" s="104">
        <v>3</v>
      </c>
      <c r="O15" s="152">
        <f>TABELA!J25</f>
        <v>21</v>
      </c>
      <c r="P15" s="105">
        <f>TABELA!H25</f>
        <v>12</v>
      </c>
      <c r="Q15" s="265"/>
    </row>
    <row r="16" spans="1:17" ht="20.100000000000001" customHeight="1" x14ac:dyDescent="0.25">
      <c r="A16" s="362"/>
      <c r="B16" s="104" t="s">
        <v>0</v>
      </c>
      <c r="C16" s="102">
        <f>SUM(C13:C15)</f>
        <v>50</v>
      </c>
      <c r="D16" s="105">
        <f>SUM(D13:D15)</f>
        <v>58</v>
      </c>
      <c r="E16" s="367"/>
      <c r="F16" s="104" t="s">
        <v>0</v>
      </c>
      <c r="G16" s="102">
        <f>SUM(G13:G15)</f>
        <v>51</v>
      </c>
      <c r="H16" s="105">
        <f>SUM(H13:H15)</f>
        <v>53</v>
      </c>
      <c r="I16" s="359"/>
      <c r="J16" s="104" t="s">
        <v>0</v>
      </c>
      <c r="K16" s="102">
        <f>SUM(K13:K15)</f>
        <v>44</v>
      </c>
      <c r="L16" s="105">
        <f>SUM(L13:L15)</f>
        <v>54</v>
      </c>
      <c r="M16" s="367"/>
      <c r="N16" s="104" t="s">
        <v>0</v>
      </c>
      <c r="O16" s="102">
        <f>SUM(O13:O15)</f>
        <v>63</v>
      </c>
      <c r="P16" s="105">
        <f>SUM(P13:P15)</f>
        <v>43</v>
      </c>
      <c r="Q16" s="265"/>
    </row>
    <row r="17" spans="1:17" ht="20.100000000000001" customHeight="1" thickBot="1" x14ac:dyDescent="0.3">
      <c r="A17" s="362"/>
      <c r="B17" s="106" t="s">
        <v>17</v>
      </c>
      <c r="C17" s="107">
        <v>2</v>
      </c>
      <c r="D17" s="108">
        <f>C16/D16</f>
        <v>0.86206896551724133</v>
      </c>
      <c r="E17" s="367"/>
      <c r="F17" s="106" t="s">
        <v>17</v>
      </c>
      <c r="G17" s="107">
        <v>1</v>
      </c>
      <c r="H17" s="108">
        <f>G16/H16</f>
        <v>0.96226415094339623</v>
      </c>
      <c r="I17" s="359"/>
      <c r="J17" s="106" t="s">
        <v>17</v>
      </c>
      <c r="K17" s="107"/>
      <c r="L17" s="108">
        <f>K16/L16</f>
        <v>0.81481481481481477</v>
      </c>
      <c r="M17" s="367"/>
      <c r="N17" s="106" t="s">
        <v>17</v>
      </c>
      <c r="O17" s="107">
        <v>3</v>
      </c>
      <c r="P17" s="108">
        <f>O16/P16</f>
        <v>1.4651162790697674</v>
      </c>
      <c r="Q17" s="265"/>
    </row>
    <row r="18" spans="1:17" ht="9.9499999999999993" customHeight="1" thickBot="1" x14ac:dyDescent="0.3">
      <c r="A18" s="176"/>
      <c r="B18" s="177"/>
      <c r="C18" s="177"/>
      <c r="D18" s="177"/>
      <c r="E18" s="177"/>
      <c r="F18" s="177"/>
      <c r="G18" s="177"/>
      <c r="H18" s="177"/>
      <c r="I18" s="177"/>
      <c r="J18" s="177"/>
      <c r="K18" s="177"/>
      <c r="L18" s="177"/>
      <c r="M18" s="177"/>
      <c r="N18" s="177"/>
      <c r="O18" s="177"/>
      <c r="P18" s="177"/>
      <c r="Q18" s="178"/>
    </row>
    <row r="19" spans="1:17" ht="5.0999999999999996" customHeight="1" thickBot="1" x14ac:dyDescent="0.3">
      <c r="A19" s="93"/>
      <c r="B19" s="94"/>
      <c r="C19" s="94"/>
      <c r="D19" s="94"/>
      <c r="E19" s="94"/>
      <c r="F19" s="94"/>
      <c r="G19" s="94"/>
      <c r="H19" s="94"/>
      <c r="I19" s="94"/>
      <c r="J19" s="94"/>
      <c r="K19" s="94"/>
      <c r="L19" s="94"/>
      <c r="M19" s="94"/>
      <c r="N19" s="94"/>
      <c r="O19" s="94"/>
      <c r="P19" s="94"/>
      <c r="Q19" s="2"/>
    </row>
    <row r="20" spans="1:17" ht="9.9499999999999993" customHeight="1" thickBot="1" x14ac:dyDescent="0.3">
      <c r="A20" s="352"/>
      <c r="B20" s="353"/>
      <c r="C20" s="353"/>
      <c r="D20" s="353"/>
      <c r="E20" s="353"/>
      <c r="F20" s="353"/>
      <c r="G20" s="353"/>
      <c r="H20" s="353"/>
      <c r="I20" s="353"/>
      <c r="J20" s="353"/>
      <c r="K20" s="353"/>
      <c r="L20" s="353"/>
      <c r="M20" s="353"/>
      <c r="N20" s="353"/>
      <c r="O20" s="353"/>
      <c r="P20" s="353"/>
      <c r="Q20" s="354"/>
    </row>
    <row r="21" spans="1:17" ht="20.100000000000001" customHeight="1" thickBot="1" x14ac:dyDescent="0.3">
      <c r="A21" s="362"/>
      <c r="B21" s="368" t="s">
        <v>33</v>
      </c>
      <c r="C21" s="369"/>
      <c r="D21" s="369"/>
      <c r="E21" s="369"/>
      <c r="F21" s="369"/>
      <c r="G21" s="369"/>
      <c r="H21" s="369"/>
      <c r="I21" s="369"/>
      <c r="J21" s="369"/>
      <c r="K21" s="369"/>
      <c r="L21" s="369"/>
      <c r="M21" s="369"/>
      <c r="N21" s="369"/>
      <c r="O21" s="369"/>
      <c r="P21" s="370"/>
      <c r="Q21" s="265"/>
    </row>
    <row r="22" spans="1:17" ht="9.9499999999999993" customHeight="1" thickBot="1" x14ac:dyDescent="0.3">
      <c r="A22" s="362"/>
      <c r="B22" s="371"/>
      <c r="C22" s="371"/>
      <c r="D22" s="371"/>
      <c r="E22" s="371"/>
      <c r="F22" s="371"/>
      <c r="G22" s="371"/>
      <c r="H22" s="371"/>
      <c r="I22" s="371"/>
      <c r="J22" s="371"/>
      <c r="K22" s="371"/>
      <c r="L22" s="371"/>
      <c r="M22" s="371"/>
      <c r="N22" s="371"/>
      <c r="O22" s="371"/>
      <c r="P22" s="371"/>
      <c r="Q22" s="265"/>
    </row>
    <row r="23" spans="1:17" ht="20.100000000000001" customHeight="1" thickBot="1" x14ac:dyDescent="0.3">
      <c r="A23" s="362"/>
      <c r="B23" s="95" t="str">
        <f>GRUPOS!G11</f>
        <v>MARCO RAMOS/JEFF MISERA</v>
      </c>
      <c r="C23" s="96" t="s">
        <v>14</v>
      </c>
      <c r="D23" s="97" t="s">
        <v>15</v>
      </c>
      <c r="E23" s="367"/>
      <c r="F23" s="95" t="str">
        <f>GRUPOS!G12</f>
        <v>IVAN/SANDRO MARINS</v>
      </c>
      <c r="G23" s="98" t="s">
        <v>14</v>
      </c>
      <c r="H23" s="99" t="s">
        <v>15</v>
      </c>
      <c r="I23" s="359"/>
      <c r="J23" s="95" t="str">
        <f>GRUPOS!G13</f>
        <v>CHARLLES/MÁRIO</v>
      </c>
      <c r="K23" s="96" t="s">
        <v>14</v>
      </c>
      <c r="L23" s="97" t="s">
        <v>15</v>
      </c>
      <c r="M23" s="367"/>
      <c r="N23" s="95" t="str">
        <f>GRUPOS!G14</f>
        <v>PAULO CEARÁ/EDUARDO</v>
      </c>
      <c r="O23" s="98" t="s">
        <v>14</v>
      </c>
      <c r="P23" s="99" t="s">
        <v>15</v>
      </c>
      <c r="Q23" s="265"/>
    </row>
    <row r="24" spans="1:17" ht="20.100000000000001" customHeight="1" x14ac:dyDescent="0.25">
      <c r="A24" s="362"/>
      <c r="B24" s="100">
        <v>1</v>
      </c>
      <c r="C24" s="152">
        <f>TABELA!H11</f>
        <v>21</v>
      </c>
      <c r="D24" s="101">
        <f>TABELA!J11</f>
        <v>16</v>
      </c>
      <c r="E24" s="367"/>
      <c r="F24" s="100">
        <v>1</v>
      </c>
      <c r="G24" s="152">
        <f>TABELA!H14</f>
        <v>21</v>
      </c>
      <c r="H24" s="101">
        <f>TABELA!J14</f>
        <v>16</v>
      </c>
      <c r="I24" s="359"/>
      <c r="J24" s="100">
        <v>1</v>
      </c>
      <c r="K24" s="3">
        <f>TABELA!J14</f>
        <v>16</v>
      </c>
      <c r="L24" s="101">
        <f>TABELA!H14</f>
        <v>21</v>
      </c>
      <c r="M24" s="367"/>
      <c r="N24" s="100">
        <v>1</v>
      </c>
      <c r="O24" s="3">
        <f>TABELA!J11</f>
        <v>16</v>
      </c>
      <c r="P24" s="101">
        <f>TABELA!H11</f>
        <v>21</v>
      </c>
      <c r="Q24" s="265"/>
    </row>
    <row r="25" spans="1:17" ht="20.100000000000001" customHeight="1" x14ac:dyDescent="0.25">
      <c r="A25" s="362"/>
      <c r="B25" s="103">
        <v>2</v>
      </c>
      <c r="C25" s="152">
        <f>TABELA!H17</f>
        <v>21</v>
      </c>
      <c r="D25" s="101">
        <f>TABELA!J17</f>
        <v>18</v>
      </c>
      <c r="E25" s="367"/>
      <c r="F25" s="103">
        <v>2</v>
      </c>
      <c r="G25" s="152">
        <f>TABELA!H20</f>
        <v>21</v>
      </c>
      <c r="H25" s="101">
        <f>TABELA!J20</f>
        <v>17</v>
      </c>
      <c r="I25" s="359"/>
      <c r="J25" s="103">
        <v>2</v>
      </c>
      <c r="K25" s="3">
        <f>TABELA!J17</f>
        <v>18</v>
      </c>
      <c r="L25" s="101">
        <f>TABELA!H17</f>
        <v>21</v>
      </c>
      <c r="M25" s="367"/>
      <c r="N25" s="103">
        <v>2</v>
      </c>
      <c r="O25" s="3">
        <f>TABELA!J20</f>
        <v>17</v>
      </c>
      <c r="P25" s="101">
        <f>TABELA!H20</f>
        <v>21</v>
      </c>
      <c r="Q25" s="265"/>
    </row>
    <row r="26" spans="1:17" ht="20.100000000000001" customHeight="1" x14ac:dyDescent="0.25">
      <c r="A26" s="362"/>
      <c r="B26" s="104">
        <v>3</v>
      </c>
      <c r="C26" s="3">
        <f>TABELA!H23</f>
        <v>13</v>
      </c>
      <c r="D26" s="105">
        <f>TABELA!J23</f>
        <v>21</v>
      </c>
      <c r="E26" s="367"/>
      <c r="F26" s="104">
        <v>3</v>
      </c>
      <c r="G26" s="152">
        <f>TABELA!J23</f>
        <v>21</v>
      </c>
      <c r="H26" s="101">
        <f>TABELA!H23</f>
        <v>13</v>
      </c>
      <c r="I26" s="359"/>
      <c r="J26" s="104">
        <v>3</v>
      </c>
      <c r="K26" s="152" t="str">
        <f>TABELA!H26</f>
        <v>W</v>
      </c>
      <c r="L26" s="101">
        <f>TABELA!J26</f>
        <v>0</v>
      </c>
      <c r="M26" s="367"/>
      <c r="N26" s="104">
        <v>3</v>
      </c>
      <c r="O26" s="3">
        <f>TABELA!J26</f>
        <v>0</v>
      </c>
      <c r="P26" s="101" t="str">
        <f>TABELA!H26</f>
        <v>W</v>
      </c>
      <c r="Q26" s="265"/>
    </row>
    <row r="27" spans="1:17" ht="20.100000000000001" customHeight="1" x14ac:dyDescent="0.25">
      <c r="A27" s="362"/>
      <c r="B27" s="104" t="s">
        <v>0</v>
      </c>
      <c r="C27" s="102">
        <f>SUM(C24:C26)</f>
        <v>55</v>
      </c>
      <c r="D27" s="105">
        <f>SUM(D24:D26)</f>
        <v>55</v>
      </c>
      <c r="E27" s="367"/>
      <c r="F27" s="104" t="s">
        <v>0</v>
      </c>
      <c r="G27" s="102">
        <f>SUM(G24:G26)</f>
        <v>63</v>
      </c>
      <c r="H27" s="105">
        <f>SUM(H24:H26)</f>
        <v>46</v>
      </c>
      <c r="I27" s="359"/>
      <c r="J27" s="104" t="s">
        <v>0</v>
      </c>
      <c r="K27" s="102">
        <f>SUM(K24:K26)</f>
        <v>34</v>
      </c>
      <c r="L27" s="105">
        <f>SUM(L24:L26)</f>
        <v>42</v>
      </c>
      <c r="M27" s="367"/>
      <c r="N27" s="104" t="s">
        <v>0</v>
      </c>
      <c r="O27" s="102">
        <f>SUM(O24:O26)</f>
        <v>33</v>
      </c>
      <c r="P27" s="105">
        <f>SUM(P24:P26)</f>
        <v>42</v>
      </c>
      <c r="Q27" s="265"/>
    </row>
    <row r="28" spans="1:17" ht="20.100000000000001" customHeight="1" thickBot="1" x14ac:dyDescent="0.3">
      <c r="A28" s="362"/>
      <c r="B28" s="106" t="s">
        <v>17</v>
      </c>
      <c r="C28" s="107"/>
      <c r="D28" s="109">
        <f>C27/D27</f>
        <v>1</v>
      </c>
      <c r="E28" s="367"/>
      <c r="F28" s="106" t="s">
        <v>17</v>
      </c>
      <c r="G28" s="107"/>
      <c r="H28" s="109">
        <f>G27/H27</f>
        <v>1.3695652173913044</v>
      </c>
      <c r="I28" s="359"/>
      <c r="J28" s="106" t="s">
        <v>17</v>
      </c>
      <c r="K28" s="107"/>
      <c r="L28" s="109">
        <f>K27/L27</f>
        <v>0.80952380952380953</v>
      </c>
      <c r="M28" s="367"/>
      <c r="N28" s="106" t="s">
        <v>17</v>
      </c>
      <c r="O28" s="107"/>
      <c r="P28" s="109">
        <f>O27/P27</f>
        <v>0.7857142857142857</v>
      </c>
      <c r="Q28" s="265"/>
    </row>
    <row r="29" spans="1:17" ht="9.9499999999999993" customHeight="1" thickBot="1" x14ac:dyDescent="0.3">
      <c r="A29" s="176"/>
      <c r="B29" s="177"/>
      <c r="C29" s="177"/>
      <c r="D29" s="177"/>
      <c r="E29" s="177"/>
      <c r="F29" s="177"/>
      <c r="G29" s="177"/>
      <c r="H29" s="177"/>
      <c r="I29" s="177"/>
      <c r="J29" s="177"/>
      <c r="K29" s="177"/>
      <c r="L29" s="177"/>
      <c r="M29" s="177"/>
      <c r="N29" s="177"/>
      <c r="O29" s="177"/>
      <c r="P29" s="177"/>
      <c r="Q29" s="178"/>
    </row>
    <row r="30" spans="1:17" ht="5.0999999999999996" customHeight="1" thickBot="1" x14ac:dyDescent="0.3">
      <c r="A30" s="93"/>
      <c r="B30" s="94"/>
      <c r="C30" s="94"/>
      <c r="D30" s="94"/>
      <c r="E30" s="94"/>
      <c r="F30" s="94"/>
      <c r="G30" s="94"/>
      <c r="H30" s="94"/>
      <c r="I30" s="94"/>
      <c r="J30" s="94"/>
      <c r="K30" s="94"/>
      <c r="L30" s="94"/>
      <c r="M30" s="94"/>
      <c r="N30" s="94"/>
      <c r="O30" s="94"/>
      <c r="P30" s="94"/>
      <c r="Q30" s="2"/>
    </row>
    <row r="31" spans="1:17" ht="9.9499999999999993" customHeight="1" thickBot="1" x14ac:dyDescent="0.3">
      <c r="A31" s="352"/>
      <c r="B31" s="353"/>
      <c r="C31" s="353"/>
      <c r="D31" s="353"/>
      <c r="E31" s="353"/>
      <c r="F31" s="353"/>
      <c r="G31" s="353"/>
      <c r="H31" s="353"/>
      <c r="I31" s="353"/>
      <c r="J31" s="353"/>
      <c r="K31" s="353"/>
      <c r="L31" s="353"/>
      <c r="M31" s="353"/>
      <c r="N31" s="353"/>
      <c r="O31" s="353"/>
      <c r="P31" s="353"/>
      <c r="Q31" s="354"/>
    </row>
    <row r="32" spans="1:17" ht="20.100000000000001" customHeight="1" thickBot="1" x14ac:dyDescent="0.3">
      <c r="A32" s="362"/>
      <c r="B32" s="363" t="s">
        <v>110</v>
      </c>
      <c r="C32" s="364"/>
      <c r="D32" s="364"/>
      <c r="E32" s="364"/>
      <c r="F32" s="364"/>
      <c r="G32" s="364"/>
      <c r="H32" s="364"/>
      <c r="I32" s="364"/>
      <c r="J32" s="364"/>
      <c r="K32" s="364"/>
      <c r="L32" s="364"/>
      <c r="M32" s="364"/>
      <c r="N32" s="364"/>
      <c r="O32" s="364"/>
      <c r="P32" s="365"/>
      <c r="Q32" s="265"/>
    </row>
    <row r="33" spans="1:17" ht="9.9499999999999993" customHeight="1" thickBot="1" x14ac:dyDescent="0.3">
      <c r="A33" s="362"/>
      <c r="B33" s="366"/>
      <c r="C33" s="366"/>
      <c r="D33" s="366"/>
      <c r="E33" s="366"/>
      <c r="F33" s="366"/>
      <c r="G33" s="366"/>
      <c r="H33" s="366"/>
      <c r="I33" s="366"/>
      <c r="J33" s="366"/>
      <c r="K33" s="366"/>
      <c r="L33" s="366"/>
      <c r="M33" s="366"/>
      <c r="N33" s="366"/>
      <c r="O33" s="366"/>
      <c r="P33" s="366"/>
      <c r="Q33" s="265"/>
    </row>
    <row r="34" spans="1:17" ht="20.100000000000001" customHeight="1" thickBot="1" x14ac:dyDescent="0.3">
      <c r="A34" s="362"/>
      <c r="B34" s="95" t="str">
        <f>GRUPOS!K11</f>
        <v>FABIANO/LEANDRÃO</v>
      </c>
      <c r="C34" s="96" t="s">
        <v>14</v>
      </c>
      <c r="D34" s="97" t="s">
        <v>15</v>
      </c>
      <c r="E34" s="367"/>
      <c r="F34" s="95" t="str">
        <f>GRUPOS!K12</f>
        <v>CLÁUDIO/RENATO</v>
      </c>
      <c r="G34" s="98" t="s">
        <v>14</v>
      </c>
      <c r="H34" s="99" t="s">
        <v>15</v>
      </c>
      <c r="I34" s="359"/>
      <c r="J34" s="95" t="str">
        <f>GRUPOS!K13</f>
        <v>CONDOR/GRANDE</v>
      </c>
      <c r="K34" s="96" t="s">
        <v>14</v>
      </c>
      <c r="L34" s="97" t="s">
        <v>15</v>
      </c>
      <c r="M34" s="367"/>
      <c r="N34" s="95" t="str">
        <f>GRUPOS!K14</f>
        <v>DIVINO/JÚNIOR SAGRADO</v>
      </c>
      <c r="O34" s="98" t="s">
        <v>14</v>
      </c>
      <c r="P34" s="99" t="s">
        <v>15</v>
      </c>
      <c r="Q34" s="265"/>
    </row>
    <row r="35" spans="1:17" ht="20.100000000000001" customHeight="1" x14ac:dyDescent="0.25">
      <c r="A35" s="362"/>
      <c r="B35" s="100">
        <v>1</v>
      </c>
      <c r="C35" s="152">
        <f>TABELA!H12</f>
        <v>21</v>
      </c>
      <c r="D35" s="101">
        <f>TABELA!J12</f>
        <v>19</v>
      </c>
      <c r="E35" s="367"/>
      <c r="F35" s="100">
        <v>1</v>
      </c>
      <c r="G35" s="152">
        <f>TABELA!H15</f>
        <v>21</v>
      </c>
      <c r="H35" s="105">
        <f>TABELA!J15</f>
        <v>5</v>
      </c>
      <c r="I35" s="359"/>
      <c r="J35" s="100">
        <v>1</v>
      </c>
      <c r="K35" s="3">
        <f>TABELA!J15</f>
        <v>5</v>
      </c>
      <c r="L35" s="101">
        <f>TABELA!H15</f>
        <v>21</v>
      </c>
      <c r="M35" s="367"/>
      <c r="N35" s="100">
        <v>1</v>
      </c>
      <c r="O35" s="3">
        <f>TABELA!J12</f>
        <v>19</v>
      </c>
      <c r="P35" s="101">
        <f>TABELA!H12</f>
        <v>21</v>
      </c>
      <c r="Q35" s="265"/>
    </row>
    <row r="36" spans="1:17" ht="20.100000000000001" customHeight="1" x14ac:dyDescent="0.25">
      <c r="A36" s="362"/>
      <c r="B36" s="103">
        <v>2</v>
      </c>
      <c r="C36" s="152">
        <f>TABELA!H18</f>
        <v>21</v>
      </c>
      <c r="D36" s="101">
        <f>TABELA!J18</f>
        <v>18</v>
      </c>
      <c r="E36" s="367"/>
      <c r="F36" s="103">
        <v>2</v>
      </c>
      <c r="G36" s="152">
        <f>TABELA!H21</f>
        <v>21</v>
      </c>
      <c r="H36" s="105">
        <f>TABELA!J21</f>
        <v>18</v>
      </c>
      <c r="I36" s="359"/>
      <c r="J36" s="103">
        <v>2</v>
      </c>
      <c r="K36" s="3">
        <f>TABELA!J18</f>
        <v>18</v>
      </c>
      <c r="L36" s="101">
        <f>TABELA!H18</f>
        <v>21</v>
      </c>
      <c r="M36" s="367"/>
      <c r="N36" s="103">
        <v>2</v>
      </c>
      <c r="O36" s="3">
        <f>TABELA!J21</f>
        <v>18</v>
      </c>
      <c r="P36" s="101">
        <f>TABELA!H21</f>
        <v>21</v>
      </c>
      <c r="Q36" s="265"/>
    </row>
    <row r="37" spans="1:17" ht="20.25" customHeight="1" x14ac:dyDescent="0.25">
      <c r="A37" s="362"/>
      <c r="B37" s="104">
        <v>3</v>
      </c>
      <c r="C37" s="152">
        <f>TABELA!H24</f>
        <v>22</v>
      </c>
      <c r="D37" s="105">
        <f>TABELA!J24</f>
        <v>20</v>
      </c>
      <c r="E37" s="367"/>
      <c r="F37" s="104">
        <v>3</v>
      </c>
      <c r="G37" s="3">
        <f>TABELA!J24</f>
        <v>20</v>
      </c>
      <c r="H37" s="105">
        <f>TABELA!H24</f>
        <v>22</v>
      </c>
      <c r="I37" s="359"/>
      <c r="J37" s="104">
        <v>3</v>
      </c>
      <c r="K37" s="152">
        <f>TABELA!H27</f>
        <v>21</v>
      </c>
      <c r="L37" s="101">
        <f>TABELA!J27</f>
        <v>14</v>
      </c>
      <c r="M37" s="367"/>
      <c r="N37" s="104">
        <v>3</v>
      </c>
      <c r="O37" s="3">
        <f>TABELA!J27</f>
        <v>14</v>
      </c>
      <c r="P37" s="101">
        <f>TABELA!H27</f>
        <v>21</v>
      </c>
      <c r="Q37" s="265"/>
    </row>
    <row r="38" spans="1:17" ht="20.100000000000001" customHeight="1" x14ac:dyDescent="0.25">
      <c r="A38" s="362"/>
      <c r="B38" s="104" t="s">
        <v>0</v>
      </c>
      <c r="C38" s="102">
        <f>SUM(C35:C37)</f>
        <v>64</v>
      </c>
      <c r="D38" s="105">
        <f>SUM(D35:D37)</f>
        <v>57</v>
      </c>
      <c r="E38" s="367"/>
      <c r="F38" s="104" t="s">
        <v>0</v>
      </c>
      <c r="G38" s="102">
        <f>SUM(G35:G37)</f>
        <v>62</v>
      </c>
      <c r="H38" s="105">
        <f>SUM(H35:H37)</f>
        <v>45</v>
      </c>
      <c r="I38" s="359"/>
      <c r="J38" s="104" t="s">
        <v>0</v>
      </c>
      <c r="K38" s="102">
        <f>SUM(K35:K37)</f>
        <v>44</v>
      </c>
      <c r="L38" s="105">
        <f>SUM(L35:L37)</f>
        <v>56</v>
      </c>
      <c r="M38" s="367"/>
      <c r="N38" s="104" t="s">
        <v>0</v>
      </c>
      <c r="O38" s="3">
        <f>SUM(O35:O37)</f>
        <v>51</v>
      </c>
      <c r="P38" s="105">
        <f>SUM(P35:P37)</f>
        <v>63</v>
      </c>
      <c r="Q38" s="265"/>
    </row>
    <row r="39" spans="1:17" ht="20.100000000000001" customHeight="1" thickBot="1" x14ac:dyDescent="0.3">
      <c r="A39" s="362"/>
      <c r="B39" s="106" t="s">
        <v>17</v>
      </c>
      <c r="C39" s="107"/>
      <c r="D39" s="110">
        <f>C38/D38</f>
        <v>1.1228070175438596</v>
      </c>
      <c r="E39" s="367"/>
      <c r="F39" s="106" t="s">
        <v>17</v>
      </c>
      <c r="G39" s="107"/>
      <c r="H39" s="110">
        <f>G38/H38</f>
        <v>1.3777777777777778</v>
      </c>
      <c r="I39" s="359"/>
      <c r="J39" s="106" t="s">
        <v>17</v>
      </c>
      <c r="K39" s="107"/>
      <c r="L39" s="110">
        <f>K38/L38</f>
        <v>0.7857142857142857</v>
      </c>
      <c r="M39" s="367"/>
      <c r="N39" s="106" t="s">
        <v>17</v>
      </c>
      <c r="O39" s="107"/>
      <c r="P39" s="110">
        <f>O38/P38</f>
        <v>0.80952380952380953</v>
      </c>
      <c r="Q39" s="265"/>
    </row>
    <row r="40" spans="1:17" ht="9.9499999999999993" customHeight="1" thickBot="1" x14ac:dyDescent="0.3">
      <c r="A40" s="176"/>
      <c r="B40" s="177"/>
      <c r="C40" s="177"/>
      <c r="D40" s="177"/>
      <c r="E40" s="177"/>
      <c r="F40" s="177"/>
      <c r="G40" s="177"/>
      <c r="H40" s="177"/>
      <c r="I40" s="177"/>
      <c r="J40" s="177"/>
      <c r="K40" s="177"/>
      <c r="L40" s="177"/>
      <c r="M40" s="177"/>
      <c r="N40" s="177"/>
      <c r="O40" s="177"/>
      <c r="P40" s="177"/>
      <c r="Q40" s="178"/>
    </row>
    <row r="41" spans="1:17" ht="5.0999999999999996" customHeight="1" thickBot="1" x14ac:dyDescent="0.3">
      <c r="A41" s="93"/>
      <c r="B41" s="94"/>
      <c r="C41" s="94"/>
      <c r="D41" s="94"/>
      <c r="E41" s="94"/>
      <c r="F41" s="94"/>
      <c r="G41" s="94"/>
      <c r="H41" s="94"/>
      <c r="I41" s="94"/>
      <c r="J41" s="94"/>
      <c r="K41" s="94"/>
      <c r="L41" s="94"/>
      <c r="M41" s="94"/>
      <c r="N41" s="94"/>
      <c r="O41" s="94"/>
      <c r="P41" s="94"/>
      <c r="Q41" s="2"/>
    </row>
    <row r="42" spans="1:17" ht="9.9499999999999993" customHeight="1" thickBot="1" x14ac:dyDescent="0.3">
      <c r="A42" s="352"/>
      <c r="B42" s="353"/>
      <c r="C42" s="353"/>
      <c r="D42" s="353"/>
      <c r="E42" s="353"/>
      <c r="F42" s="353"/>
      <c r="G42" s="353"/>
      <c r="H42" s="353"/>
      <c r="I42" s="353"/>
      <c r="J42" s="353"/>
      <c r="K42" s="353"/>
      <c r="L42" s="353"/>
      <c r="M42" s="353"/>
      <c r="N42" s="353"/>
      <c r="O42" s="353"/>
      <c r="P42" s="353"/>
      <c r="Q42" s="354"/>
    </row>
    <row r="43" spans="1:17" ht="30" customHeight="1" thickBot="1" x14ac:dyDescent="0.3">
      <c r="A43" s="355"/>
      <c r="B43" s="356" t="s">
        <v>24</v>
      </c>
      <c r="C43" s="357"/>
      <c r="D43" s="357"/>
      <c r="E43" s="357"/>
      <c r="F43" s="357"/>
      <c r="G43" s="357"/>
      <c r="H43" s="357"/>
      <c r="I43" s="357"/>
      <c r="J43" s="357"/>
      <c r="K43" s="357"/>
      <c r="L43" s="357"/>
      <c r="M43" s="357"/>
      <c r="N43" s="357"/>
      <c r="O43" s="357"/>
      <c r="P43" s="358"/>
      <c r="Q43" s="359"/>
    </row>
    <row r="44" spans="1:17" ht="30" customHeight="1" thickBot="1" x14ac:dyDescent="0.3">
      <c r="A44" s="355"/>
      <c r="B44" s="111" t="s">
        <v>25</v>
      </c>
      <c r="C44" s="360" t="s">
        <v>21</v>
      </c>
      <c r="D44" s="330"/>
      <c r="E44" s="330"/>
      <c r="F44" s="330"/>
      <c r="G44" s="330"/>
      <c r="H44" s="330"/>
      <c r="I44" s="330"/>
      <c r="J44" s="331"/>
      <c r="K44" s="360" t="s">
        <v>30</v>
      </c>
      <c r="L44" s="331"/>
      <c r="M44" s="332" t="s">
        <v>147</v>
      </c>
      <c r="N44" s="333"/>
      <c r="O44" s="334" t="s">
        <v>20</v>
      </c>
      <c r="P44" s="335"/>
      <c r="Q44" s="359"/>
    </row>
    <row r="45" spans="1:17" ht="24.95" customHeight="1" x14ac:dyDescent="0.25">
      <c r="A45" s="355"/>
      <c r="B45" s="112" t="s">
        <v>1</v>
      </c>
      <c r="C45" s="361" t="s">
        <v>288</v>
      </c>
      <c r="D45" s="361"/>
      <c r="E45" s="361"/>
      <c r="F45" s="361"/>
      <c r="G45" s="361"/>
      <c r="H45" s="361"/>
      <c r="I45" s="361"/>
      <c r="J45" s="361"/>
      <c r="K45" s="339">
        <v>3</v>
      </c>
      <c r="L45" s="339"/>
      <c r="M45" s="340" t="s">
        <v>303</v>
      </c>
      <c r="N45" s="340"/>
      <c r="O45" s="339">
        <v>1.4651162790697674</v>
      </c>
      <c r="P45" s="341"/>
      <c r="Q45" s="359"/>
    </row>
    <row r="46" spans="1:17" ht="24.95" customHeight="1" x14ac:dyDescent="0.25">
      <c r="A46" s="355"/>
      <c r="B46" s="104" t="s">
        <v>3</v>
      </c>
      <c r="C46" s="348" t="s">
        <v>279</v>
      </c>
      <c r="D46" s="348"/>
      <c r="E46" s="348"/>
      <c r="F46" s="348"/>
      <c r="G46" s="348"/>
      <c r="H46" s="348"/>
      <c r="I46" s="348"/>
      <c r="J46" s="348"/>
      <c r="K46" s="311">
        <v>3</v>
      </c>
      <c r="L46" s="311"/>
      <c r="M46" s="316" t="s">
        <v>303</v>
      </c>
      <c r="N46" s="316"/>
      <c r="O46" s="311">
        <v>1.3695652173913044</v>
      </c>
      <c r="P46" s="312"/>
      <c r="Q46" s="359"/>
    </row>
    <row r="47" spans="1:17" ht="24.95" customHeight="1" x14ac:dyDescent="0.25">
      <c r="A47" s="355"/>
      <c r="B47" s="104" t="s">
        <v>4</v>
      </c>
      <c r="C47" s="348" t="s">
        <v>283</v>
      </c>
      <c r="D47" s="348"/>
      <c r="E47" s="348"/>
      <c r="F47" s="348"/>
      <c r="G47" s="348"/>
      <c r="H47" s="348"/>
      <c r="I47" s="348"/>
      <c r="J47" s="348"/>
      <c r="K47" s="311">
        <v>3</v>
      </c>
      <c r="L47" s="311"/>
      <c r="M47" s="316" t="s">
        <v>303</v>
      </c>
      <c r="N47" s="316"/>
      <c r="O47" s="311">
        <v>1.1228070175438596</v>
      </c>
      <c r="P47" s="312"/>
      <c r="Q47" s="359"/>
    </row>
    <row r="48" spans="1:17" ht="24.95" customHeight="1" x14ac:dyDescent="0.25">
      <c r="A48" s="355"/>
      <c r="B48" s="104" t="s">
        <v>2</v>
      </c>
      <c r="C48" s="348" t="s">
        <v>284</v>
      </c>
      <c r="D48" s="348"/>
      <c r="E48" s="348"/>
      <c r="F48" s="348"/>
      <c r="G48" s="348"/>
      <c r="H48" s="348"/>
      <c r="I48" s="348"/>
      <c r="J48" s="348"/>
      <c r="K48" s="311">
        <v>2</v>
      </c>
      <c r="L48" s="311"/>
      <c r="M48" s="316" t="s">
        <v>305</v>
      </c>
      <c r="N48" s="316"/>
      <c r="O48" s="317">
        <v>1.3777777777777778</v>
      </c>
      <c r="P48" s="318"/>
      <c r="Q48" s="359"/>
    </row>
    <row r="49" spans="1:17" ht="24.95" customHeight="1" x14ac:dyDescent="0.25">
      <c r="A49" s="355"/>
      <c r="B49" s="104" t="s">
        <v>5</v>
      </c>
      <c r="C49" s="348" t="s">
        <v>286</v>
      </c>
      <c r="D49" s="348"/>
      <c r="E49" s="348"/>
      <c r="F49" s="348"/>
      <c r="G49" s="348"/>
      <c r="H49" s="348"/>
      <c r="I49" s="348"/>
      <c r="J49" s="348"/>
      <c r="K49" s="311">
        <v>2</v>
      </c>
      <c r="L49" s="311"/>
      <c r="M49" s="316" t="s">
        <v>305</v>
      </c>
      <c r="N49" s="316"/>
      <c r="O49" s="317"/>
      <c r="P49" s="318"/>
      <c r="Q49" s="359"/>
    </row>
    <row r="50" spans="1:17" ht="24.95" customHeight="1" x14ac:dyDescent="0.25">
      <c r="A50" s="355"/>
      <c r="B50" s="104" t="s">
        <v>6</v>
      </c>
      <c r="C50" s="348" t="s">
        <v>282</v>
      </c>
      <c r="D50" s="348"/>
      <c r="E50" s="348"/>
      <c r="F50" s="348"/>
      <c r="G50" s="348"/>
      <c r="H50" s="348"/>
      <c r="I50" s="348"/>
      <c r="J50" s="348"/>
      <c r="K50" s="317">
        <v>2</v>
      </c>
      <c r="L50" s="315"/>
      <c r="M50" s="349" t="s">
        <v>305</v>
      </c>
      <c r="N50" s="350"/>
      <c r="O50" s="317">
        <v>0.96226415094339623</v>
      </c>
      <c r="P50" s="318"/>
      <c r="Q50" s="359"/>
    </row>
    <row r="51" spans="1:17" ht="24.95" customHeight="1" x14ac:dyDescent="0.25">
      <c r="A51" s="355"/>
      <c r="B51" s="104" t="s">
        <v>7</v>
      </c>
      <c r="C51" s="348" t="s">
        <v>281</v>
      </c>
      <c r="D51" s="348"/>
      <c r="E51" s="348"/>
      <c r="F51" s="348"/>
      <c r="G51" s="348"/>
      <c r="H51" s="348"/>
      <c r="I51" s="348"/>
      <c r="J51" s="348"/>
      <c r="K51" s="317">
        <v>1</v>
      </c>
      <c r="L51" s="315"/>
      <c r="M51" s="349" t="s">
        <v>304</v>
      </c>
      <c r="N51" s="350"/>
      <c r="O51" s="317">
        <v>0.86206896551724133</v>
      </c>
      <c r="P51" s="318"/>
      <c r="Q51" s="359"/>
    </row>
    <row r="52" spans="1:17" ht="24.95" customHeight="1" thickBot="1" x14ac:dyDescent="0.3">
      <c r="A52" s="355"/>
      <c r="B52" s="106" t="s">
        <v>8</v>
      </c>
      <c r="C52" s="351" t="s">
        <v>289</v>
      </c>
      <c r="D52" s="351"/>
      <c r="E52" s="351"/>
      <c r="F52" s="351"/>
      <c r="G52" s="351"/>
      <c r="H52" s="351"/>
      <c r="I52" s="351"/>
      <c r="J52" s="351"/>
      <c r="K52" s="345">
        <v>1</v>
      </c>
      <c r="L52" s="345"/>
      <c r="M52" s="346" t="s">
        <v>304</v>
      </c>
      <c r="N52" s="346"/>
      <c r="O52" s="345">
        <v>0.80952380952380953</v>
      </c>
      <c r="P52" s="347"/>
      <c r="Q52" s="359"/>
    </row>
    <row r="53" spans="1:17" ht="9.9499999999999993" customHeight="1" thickBot="1" x14ac:dyDescent="0.3">
      <c r="A53" s="176"/>
      <c r="B53" s="177"/>
      <c r="C53" s="177"/>
      <c r="D53" s="177"/>
      <c r="E53" s="177"/>
      <c r="F53" s="177"/>
      <c r="G53" s="177"/>
      <c r="H53" s="177"/>
      <c r="I53" s="177"/>
      <c r="J53" s="177"/>
      <c r="K53" s="177"/>
      <c r="L53" s="177"/>
      <c r="M53" s="177"/>
      <c r="N53" s="177"/>
      <c r="O53" s="177"/>
      <c r="P53" s="177"/>
      <c r="Q53" s="178"/>
    </row>
    <row r="54" spans="1:17" ht="24.95" customHeight="1" thickBot="1" x14ac:dyDescent="0.3"/>
    <row r="55" spans="1:17" ht="24.95" customHeight="1" thickBot="1" x14ac:dyDescent="0.3">
      <c r="F55" s="319" t="s">
        <v>148</v>
      </c>
      <c r="G55" s="320"/>
      <c r="H55" s="321"/>
      <c r="I55" s="328" t="s">
        <v>21</v>
      </c>
      <c r="J55" s="329"/>
      <c r="K55" s="330" t="s">
        <v>30</v>
      </c>
      <c r="L55" s="331"/>
      <c r="M55" s="332" t="s">
        <v>147</v>
      </c>
      <c r="N55" s="333"/>
      <c r="O55" s="334" t="s">
        <v>20</v>
      </c>
      <c r="P55" s="335"/>
    </row>
    <row r="56" spans="1:17" ht="24.95" customHeight="1" x14ac:dyDescent="0.25">
      <c r="F56" s="322"/>
      <c r="G56" s="323"/>
      <c r="H56" s="324"/>
      <c r="I56" s="336"/>
      <c r="J56" s="337"/>
      <c r="K56" s="338"/>
      <c r="L56" s="339"/>
      <c r="M56" s="340"/>
      <c r="N56" s="340"/>
      <c r="O56" s="339"/>
      <c r="P56" s="341"/>
    </row>
    <row r="57" spans="1:17" ht="24.95" customHeight="1" x14ac:dyDescent="0.25">
      <c r="F57" s="322"/>
      <c r="G57" s="323"/>
      <c r="H57" s="324"/>
      <c r="I57" s="313"/>
      <c r="J57" s="314"/>
      <c r="K57" s="315"/>
      <c r="L57" s="311"/>
      <c r="M57" s="316"/>
      <c r="N57" s="316"/>
      <c r="O57" s="311"/>
      <c r="P57" s="312"/>
    </row>
    <row r="58" spans="1:17" ht="24.95" customHeight="1" x14ac:dyDescent="0.25">
      <c r="F58" s="322"/>
      <c r="G58" s="323"/>
      <c r="H58" s="324"/>
      <c r="I58" s="313"/>
      <c r="J58" s="314"/>
      <c r="K58" s="315"/>
      <c r="L58" s="311"/>
      <c r="M58" s="316"/>
      <c r="N58" s="316"/>
      <c r="O58" s="311"/>
      <c r="P58" s="312"/>
    </row>
    <row r="59" spans="1:17" ht="24.95" customHeight="1" x14ac:dyDescent="0.25">
      <c r="F59" s="322"/>
      <c r="G59" s="323"/>
      <c r="H59" s="324"/>
      <c r="I59" s="313"/>
      <c r="J59" s="314"/>
      <c r="K59" s="315"/>
      <c r="L59" s="311"/>
      <c r="M59" s="316"/>
      <c r="N59" s="316"/>
      <c r="O59" s="317"/>
      <c r="P59" s="318"/>
    </row>
    <row r="60" spans="1:17" ht="24.95" customHeight="1" x14ac:dyDescent="0.25">
      <c r="F60" s="322"/>
      <c r="G60" s="323"/>
      <c r="H60" s="324"/>
      <c r="I60" s="313"/>
      <c r="J60" s="314"/>
      <c r="K60" s="315"/>
      <c r="L60" s="311"/>
      <c r="M60" s="316"/>
      <c r="N60" s="316"/>
      <c r="O60" s="317"/>
      <c r="P60" s="318"/>
    </row>
    <row r="61" spans="1:17" ht="24.95" customHeight="1" x14ac:dyDescent="0.25">
      <c r="F61" s="322"/>
      <c r="G61" s="323"/>
      <c r="H61" s="324"/>
      <c r="I61" s="313"/>
      <c r="J61" s="314"/>
      <c r="K61" s="315"/>
      <c r="L61" s="311"/>
      <c r="M61" s="316"/>
      <c r="N61" s="316"/>
      <c r="O61" s="317"/>
      <c r="P61" s="318"/>
    </row>
    <row r="62" spans="1:17" ht="24.95" customHeight="1" x14ac:dyDescent="0.25">
      <c r="F62" s="322"/>
      <c r="G62" s="323"/>
      <c r="H62" s="324"/>
      <c r="I62" s="313"/>
      <c r="J62" s="314"/>
      <c r="K62" s="315"/>
      <c r="L62" s="311"/>
      <c r="M62" s="316"/>
      <c r="N62" s="316"/>
      <c r="O62" s="317"/>
      <c r="P62" s="318"/>
    </row>
    <row r="63" spans="1:17" ht="24.95" customHeight="1" thickBot="1" x14ac:dyDescent="0.3">
      <c r="F63" s="325"/>
      <c r="G63" s="326"/>
      <c r="H63" s="327"/>
      <c r="I63" s="342"/>
      <c r="J63" s="343"/>
      <c r="K63" s="344"/>
      <c r="L63" s="345"/>
      <c r="M63" s="346"/>
      <c r="N63" s="346"/>
      <c r="O63" s="345"/>
      <c r="P63" s="347"/>
    </row>
  </sheetData>
  <mergeCells count="114">
    <mergeCell ref="A9:Q9"/>
    <mergeCell ref="A10:A17"/>
    <mergeCell ref="B10:P10"/>
    <mergeCell ref="Q10:Q17"/>
    <mergeCell ref="B11:P11"/>
    <mergeCell ref="E12:E17"/>
    <mergeCell ref="I12:I17"/>
    <mergeCell ref="M12:M17"/>
    <mergeCell ref="A1:Q1"/>
    <mergeCell ref="B2:P2"/>
    <mergeCell ref="Q2:Q7"/>
    <mergeCell ref="B3:P3"/>
    <mergeCell ref="B4:P4"/>
    <mergeCell ref="B5:P5"/>
    <mergeCell ref="B6:P6"/>
    <mergeCell ref="B7:P7"/>
    <mergeCell ref="A2:A7"/>
    <mergeCell ref="A18:Q18"/>
    <mergeCell ref="A20:Q20"/>
    <mergeCell ref="A21:A28"/>
    <mergeCell ref="B21:P21"/>
    <mergeCell ref="Q21:Q28"/>
    <mergeCell ref="B22:P22"/>
    <mergeCell ref="E23:E28"/>
    <mergeCell ref="I23:I28"/>
    <mergeCell ref="M23:M28"/>
    <mergeCell ref="A29:Q29"/>
    <mergeCell ref="A31:Q31"/>
    <mergeCell ref="A32:A39"/>
    <mergeCell ref="B32:P32"/>
    <mergeCell ref="Q32:Q39"/>
    <mergeCell ref="B33:P33"/>
    <mergeCell ref="E34:E39"/>
    <mergeCell ref="I34:I39"/>
    <mergeCell ref="M34:M39"/>
    <mergeCell ref="A40:Q40"/>
    <mergeCell ref="A42:Q42"/>
    <mergeCell ref="A43:A53"/>
    <mergeCell ref="B43:P43"/>
    <mergeCell ref="Q43:Q52"/>
    <mergeCell ref="C44:J44"/>
    <mergeCell ref="K44:L44"/>
    <mergeCell ref="M44:N44"/>
    <mergeCell ref="O44:P44"/>
    <mergeCell ref="C45:J45"/>
    <mergeCell ref="C47:J47"/>
    <mergeCell ref="K47:L47"/>
    <mergeCell ref="M47:N47"/>
    <mergeCell ref="O47:P47"/>
    <mergeCell ref="C48:J48"/>
    <mergeCell ref="K48:L48"/>
    <mergeCell ref="M48:N48"/>
    <mergeCell ref="O48:P48"/>
    <mergeCell ref="K45:L45"/>
    <mergeCell ref="M45:N45"/>
    <mergeCell ref="O45:P45"/>
    <mergeCell ref="C46:J46"/>
    <mergeCell ref="K46:L46"/>
    <mergeCell ref="M46:N46"/>
    <mergeCell ref="O46:P46"/>
    <mergeCell ref="C51:J51"/>
    <mergeCell ref="K51:L51"/>
    <mergeCell ref="M51:N51"/>
    <mergeCell ref="O51:P51"/>
    <mergeCell ref="C52:J52"/>
    <mergeCell ref="K52:L52"/>
    <mergeCell ref="M52:N52"/>
    <mergeCell ref="O52:P52"/>
    <mergeCell ref="C49:J49"/>
    <mergeCell ref="K49:L49"/>
    <mergeCell ref="M49:N49"/>
    <mergeCell ref="O49:P49"/>
    <mergeCell ref="C50:J50"/>
    <mergeCell ref="K50:L50"/>
    <mergeCell ref="M50:N50"/>
    <mergeCell ref="O50:P50"/>
    <mergeCell ref="B53:Q53"/>
    <mergeCell ref="F55:H63"/>
    <mergeCell ref="I55:J55"/>
    <mergeCell ref="K55:L55"/>
    <mergeCell ref="M55:N55"/>
    <mergeCell ref="O55:P55"/>
    <mergeCell ref="I56:J56"/>
    <mergeCell ref="K56:L56"/>
    <mergeCell ref="M56:N56"/>
    <mergeCell ref="O56:P56"/>
    <mergeCell ref="I63:J63"/>
    <mergeCell ref="K63:L63"/>
    <mergeCell ref="M63:N63"/>
    <mergeCell ref="O63:P63"/>
    <mergeCell ref="I61:J61"/>
    <mergeCell ref="K61:L61"/>
    <mergeCell ref="M61:N61"/>
    <mergeCell ref="O61:P61"/>
    <mergeCell ref="I62:J62"/>
    <mergeCell ref="I57:J57"/>
    <mergeCell ref="K57:L57"/>
    <mergeCell ref="M57:N57"/>
    <mergeCell ref="K62:L62"/>
    <mergeCell ref="M62:N62"/>
    <mergeCell ref="O57:P57"/>
    <mergeCell ref="I58:J58"/>
    <mergeCell ref="K58:L58"/>
    <mergeCell ref="M58:N58"/>
    <mergeCell ref="O58:P58"/>
    <mergeCell ref="O62:P62"/>
    <mergeCell ref="I59:J59"/>
    <mergeCell ref="K59:L59"/>
    <mergeCell ref="M59:N59"/>
    <mergeCell ref="O59:P59"/>
    <mergeCell ref="I60:J60"/>
    <mergeCell ref="K60:L60"/>
    <mergeCell ref="M60:N60"/>
    <mergeCell ref="O60:P60"/>
  </mergeCells>
  <phoneticPr fontId="40" type="noConversion"/>
  <printOptions horizontalCentered="1" verticalCentered="1"/>
  <pageMargins left="0.7" right="0.7" top="0.75" bottom="0.75" header="0.3" footer="0.3"/>
  <pageSetup paperSize="9" scale="23" pageOrder="overThenDown"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1</vt:i4>
      </vt:variant>
    </vt:vector>
  </HeadingPairs>
  <TitlesOfParts>
    <vt:vector size="6" baseType="lpstr">
      <vt:lpstr>RANKING 2025</vt:lpstr>
      <vt:lpstr>REGULAMENTO</vt:lpstr>
      <vt:lpstr>GRUPOS</vt:lpstr>
      <vt:lpstr>TABELA</vt:lpstr>
      <vt:lpstr>AVERAGE </vt:lpstr>
      <vt:lpstr>'RANKING 2025'!Titulos_de_impressao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Wander Lucas Vale da Silva</dc:creator>
  <cp:lastModifiedBy>Wander Lucas</cp:lastModifiedBy>
  <cp:lastPrinted>2025-12-08T19:46:22Z</cp:lastPrinted>
  <dcterms:created xsi:type="dcterms:W3CDTF">2022-11-04T18:41:09Z</dcterms:created>
  <dcterms:modified xsi:type="dcterms:W3CDTF">2025-12-08T19:47:48Z</dcterms:modified>
</cp:coreProperties>
</file>