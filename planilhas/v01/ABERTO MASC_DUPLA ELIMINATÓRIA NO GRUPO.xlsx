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-pcdf-01\FS-DEPATE\DEPATE\SPEI\LUCAS\01 - VOLEI DE PRAIA\CIRCUITO NCT\2026\1ª ETAPA 2026 - ARENA CAFFE\CATEGORIAS\ABERTO MASC\"/>
    </mc:Choice>
  </mc:AlternateContent>
  <xr:revisionPtr revIDLastSave="0" documentId="13_ncr:1_{B68A2549-06D3-4B93-A6FB-1FEFAD581FD8}" xr6:coauthVersionLast="47" xr6:coauthVersionMax="47" xr10:uidLastSave="{00000000-0000-0000-0000-000000000000}"/>
  <bookViews>
    <workbookView xWindow="-28920" yWindow="1035" windowWidth="29040" windowHeight="15840" xr2:uid="{F3961328-0035-4217-99ED-6477153DAF09}"/>
  </bookViews>
  <sheets>
    <sheet name="GRUPOS" sheetId="48" r:id="rId1"/>
    <sheet name="TABELA_AVERAGE" sheetId="49" r:id="rId2"/>
  </sheets>
  <definedNames>
    <definedName name="FromArray_1">_xlfn.ANCHORARRAY(#REF!)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2" i="49" l="1"/>
  <c r="R32" i="49"/>
  <c r="X32" i="49" s="1"/>
  <c r="Z32" i="49" s="1"/>
  <c r="S31" i="49"/>
  <c r="R31" i="49"/>
  <c r="S30" i="49"/>
  <c r="R30" i="49"/>
  <c r="S29" i="49"/>
  <c r="R29" i="49"/>
  <c r="S25" i="49"/>
  <c r="Y25" i="49" s="1"/>
  <c r="R25" i="49"/>
  <c r="X25" i="49" s="1"/>
  <c r="S24" i="49"/>
  <c r="Y24" i="49" s="1"/>
  <c r="R24" i="49"/>
  <c r="X24" i="49" s="1"/>
  <c r="S23" i="49"/>
  <c r="Y23" i="49" s="1"/>
  <c r="R23" i="49"/>
  <c r="X23" i="49" s="1"/>
  <c r="S22" i="49"/>
  <c r="Y22" i="49" s="1"/>
  <c r="R22" i="49"/>
  <c r="X22" i="49" s="1"/>
  <c r="S18" i="49"/>
  <c r="Y18" i="49" s="1"/>
  <c r="R18" i="49"/>
  <c r="X18" i="49" s="1"/>
  <c r="S17" i="49"/>
  <c r="Y17" i="49" s="1"/>
  <c r="R17" i="49"/>
  <c r="X17" i="49" s="1"/>
  <c r="S16" i="49"/>
  <c r="Y16" i="49" s="1"/>
  <c r="R16" i="49"/>
  <c r="X16" i="49" s="1"/>
  <c r="S15" i="49"/>
  <c r="Y15" i="49" s="1"/>
  <c r="R15" i="49"/>
  <c r="X15" i="49" s="1"/>
  <c r="Q32" i="49"/>
  <c r="Q31" i="49"/>
  <c r="Q30" i="49"/>
  <c r="Q29" i="49"/>
  <c r="Q25" i="49"/>
  <c r="Q24" i="49"/>
  <c r="Q23" i="49"/>
  <c r="Q22" i="49"/>
  <c r="Q18" i="49"/>
  <c r="Q17" i="49"/>
  <c r="Q16" i="49"/>
  <c r="Q15" i="49"/>
  <c r="K30" i="49"/>
  <c r="K32" i="49"/>
  <c r="K33" i="49"/>
  <c r="K31" i="49"/>
  <c r="G31" i="49"/>
  <c r="G33" i="49"/>
  <c r="G32" i="49"/>
  <c r="G30" i="49"/>
  <c r="Y32" i="49"/>
  <c r="Y31" i="49"/>
  <c r="X31" i="49"/>
  <c r="Y30" i="49"/>
  <c r="X30" i="49"/>
  <c r="Y29" i="49"/>
  <c r="X29" i="49"/>
  <c r="S11" i="49"/>
  <c r="Y11" i="49" s="1"/>
  <c r="R11" i="49"/>
  <c r="X11" i="49" s="1"/>
  <c r="S10" i="49"/>
  <c r="Y10" i="49" s="1"/>
  <c r="R10" i="49"/>
  <c r="X10" i="49" s="1"/>
  <c r="S9" i="49"/>
  <c r="Y9" i="49" s="1"/>
  <c r="R9" i="49"/>
  <c r="X9" i="49" s="1"/>
  <c r="S8" i="49"/>
  <c r="Y8" i="49" s="1"/>
  <c r="R8" i="49"/>
  <c r="X8" i="49" s="1"/>
  <c r="Q11" i="49"/>
  <c r="Q10" i="49"/>
  <c r="Q9" i="49"/>
  <c r="Q8" i="49"/>
  <c r="AG4" i="49"/>
  <c r="AU40" i="49"/>
  <c r="AT40" i="49"/>
  <c r="AQ40" i="49"/>
  <c r="AP40" i="49"/>
  <c r="AL40" i="49"/>
  <c r="AI40" i="49"/>
  <c r="AU39" i="49"/>
  <c r="AT39" i="49"/>
  <c r="AP39" i="49"/>
  <c r="AM39" i="49"/>
  <c r="AL39" i="49"/>
  <c r="AI39" i="49"/>
  <c r="AU38" i="49"/>
  <c r="AT38" i="49"/>
  <c r="AQ38" i="49"/>
  <c r="AL38" i="49"/>
  <c r="AI38" i="49"/>
  <c r="AH38" i="49"/>
  <c r="AS37" i="49"/>
  <c r="AO37" i="49"/>
  <c r="AK37" i="49"/>
  <c r="AG37" i="49"/>
  <c r="AU29" i="49"/>
  <c r="AT29" i="49"/>
  <c r="AQ29" i="49"/>
  <c r="AP29" i="49"/>
  <c r="AM29" i="49"/>
  <c r="AH29" i="49"/>
  <c r="AU28" i="49"/>
  <c r="AT28" i="49"/>
  <c r="AP28" i="49"/>
  <c r="AM28" i="49"/>
  <c r="AL28" i="49"/>
  <c r="AI28" i="49"/>
  <c r="AU27" i="49"/>
  <c r="AT27" i="49"/>
  <c r="AQ27" i="49"/>
  <c r="AP27" i="49"/>
  <c r="AM27" i="49"/>
  <c r="AM40" i="49" s="1"/>
  <c r="AL27" i="49"/>
  <c r="AI27" i="49"/>
  <c r="AH27" i="49"/>
  <c r="AS26" i="49"/>
  <c r="AO26" i="49"/>
  <c r="AL29" i="49" s="1"/>
  <c r="AK26" i="49"/>
  <c r="AG26" i="49"/>
  <c r="AU18" i="49"/>
  <c r="AT18" i="49"/>
  <c r="AQ18" i="49"/>
  <c r="AP18" i="49"/>
  <c r="AM18" i="49"/>
  <c r="AQ28" i="49" s="1"/>
  <c r="AL18" i="49"/>
  <c r="AI18" i="49"/>
  <c r="AH18" i="49"/>
  <c r="AU17" i="49"/>
  <c r="AT17" i="49"/>
  <c r="AP17" i="49"/>
  <c r="AM17" i="49"/>
  <c r="AQ17" i="49" s="1"/>
  <c r="AL17" i="49"/>
  <c r="AI17" i="49"/>
  <c r="AT16" i="49"/>
  <c r="AQ16" i="49"/>
  <c r="AP16" i="49"/>
  <c r="AM16" i="49"/>
  <c r="AL16" i="49"/>
  <c r="AI16" i="49"/>
  <c r="AS15" i="49"/>
  <c r="AO15" i="49"/>
  <c r="AM38" i="49" s="1"/>
  <c r="AK15" i="49"/>
  <c r="AG15" i="49"/>
  <c r="AU7" i="49"/>
  <c r="AT7" i="49"/>
  <c r="AQ7" i="49"/>
  <c r="AP7" i="49"/>
  <c r="AM7" i="49"/>
  <c r="AL7" i="49"/>
  <c r="AI7" i="49"/>
  <c r="AH7" i="49"/>
  <c r="AT6" i="49"/>
  <c r="AP6" i="49"/>
  <c r="AM6" i="49"/>
  <c r="AI6" i="49"/>
  <c r="AT5" i="49"/>
  <c r="AQ5" i="49"/>
  <c r="AP5" i="49"/>
  <c r="AM5" i="49"/>
  <c r="AL5" i="49"/>
  <c r="AI5" i="49"/>
  <c r="AS4" i="49"/>
  <c r="AO4" i="49"/>
  <c r="AK4" i="49"/>
  <c r="O11" i="48"/>
  <c r="K11" i="49" s="1"/>
  <c r="K11" i="48"/>
  <c r="G11" i="48"/>
  <c r="K9" i="49" s="1"/>
  <c r="C11" i="48"/>
  <c r="O10" i="48"/>
  <c r="K15" i="49" s="1"/>
  <c r="K10" i="48"/>
  <c r="K14" i="49" s="1"/>
  <c r="G10" i="48"/>
  <c r="K13" i="49" s="1"/>
  <c r="C10" i="48"/>
  <c r="O9" i="48"/>
  <c r="K9" i="48"/>
  <c r="G9" i="48"/>
  <c r="C9" i="48"/>
  <c r="O8" i="48"/>
  <c r="K8" i="48"/>
  <c r="G8" i="48"/>
  <c r="C8" i="48"/>
  <c r="Z30" i="49" l="1"/>
  <c r="Z18" i="49"/>
  <c r="Z23" i="49"/>
  <c r="Z16" i="49"/>
  <c r="Z25" i="49"/>
  <c r="Z29" i="49"/>
  <c r="Z31" i="49"/>
  <c r="Z22" i="49"/>
  <c r="Z24" i="49"/>
  <c r="Z15" i="49"/>
  <c r="Z17" i="49"/>
  <c r="Z11" i="49"/>
  <c r="Z8" i="49"/>
  <c r="Z9" i="49"/>
  <c r="Z10" i="49"/>
  <c r="AT8" i="49"/>
  <c r="AP30" i="49"/>
  <c r="AM8" i="49"/>
  <c r="AH5" i="49" s="1"/>
  <c r="AI19" i="49"/>
  <c r="AH28" i="49"/>
  <c r="AH30" i="49" s="1"/>
  <c r="AT19" i="49"/>
  <c r="AT41" i="49"/>
  <c r="AQ19" i="49"/>
  <c r="AP8" i="49"/>
  <c r="AL19" i="49"/>
  <c r="AQ30" i="49"/>
  <c r="AH40" i="49"/>
  <c r="AI8" i="49"/>
  <c r="AM41" i="49"/>
  <c r="AM19" i="49"/>
  <c r="AQ39" i="49" s="1"/>
  <c r="AQ41" i="49" s="1"/>
  <c r="AT30" i="49"/>
  <c r="AI41" i="49"/>
  <c r="AU41" i="49"/>
  <c r="AP19" i="49"/>
  <c r="AU30" i="49"/>
  <c r="AL41" i="49"/>
  <c r="G12" i="49"/>
  <c r="K12" i="49"/>
  <c r="G10" i="49"/>
  <c r="G14" i="49"/>
  <c r="K8" i="49"/>
  <c r="G11" i="49"/>
  <c r="G13" i="49"/>
  <c r="G15" i="49"/>
  <c r="K10" i="49"/>
  <c r="G9" i="49"/>
  <c r="AL30" i="49"/>
  <c r="AH6" i="49"/>
  <c r="AH17" i="49"/>
  <c r="AP38" i="49"/>
  <c r="AP41" i="49" s="1"/>
  <c r="AQ6" i="49"/>
  <c r="AQ8" i="49" s="1"/>
  <c r="AI29" i="49"/>
  <c r="AI30" i="49" s="1"/>
  <c r="AM30" i="49"/>
  <c r="G8" i="49"/>
  <c r="AQ31" i="49" l="1"/>
  <c r="AU42" i="49"/>
  <c r="AM20" i="49"/>
  <c r="AL6" i="49" s="1"/>
  <c r="AL8" i="49" s="1"/>
  <c r="AM9" i="49" s="1"/>
  <c r="AH16" i="49" s="1"/>
  <c r="AH19" i="49" s="1"/>
  <c r="AI20" i="49" s="1"/>
  <c r="AH39" i="49"/>
  <c r="AH41" i="49" s="1"/>
  <c r="AI42" i="49" s="1"/>
  <c r="AQ20" i="49"/>
  <c r="AU5" i="49"/>
  <c r="AM42" i="49"/>
  <c r="AI31" i="49"/>
  <c r="AU31" i="49"/>
  <c r="AQ9" i="49"/>
  <c r="AU6" i="49"/>
  <c r="AM31" i="49"/>
  <c r="AQ42" i="49"/>
  <c r="AH8" i="49"/>
  <c r="AI9" i="49" s="1"/>
  <c r="AU8" i="49" l="1"/>
  <c r="AU9" i="49" s="1"/>
  <c r="AU16" i="49"/>
  <c r="AU19" i="49" s="1"/>
  <c r="AU20" i="49" s="1"/>
</calcChain>
</file>

<file path=xl/sharedStrings.xml><?xml version="1.0" encoding="utf-8"?>
<sst xmlns="http://schemas.openxmlformats.org/spreadsheetml/2006/main" count="488" uniqueCount="199">
  <si>
    <t>TOTAL</t>
  </si>
  <si>
    <t>1º</t>
  </si>
  <si>
    <t>4º</t>
  </si>
  <si>
    <t>2º</t>
  </si>
  <si>
    <t>3º</t>
  </si>
  <si>
    <t>5º</t>
  </si>
  <si>
    <t>6º</t>
  </si>
  <si>
    <t>7º</t>
  </si>
  <si>
    <t>8º</t>
  </si>
  <si>
    <t>Jogo</t>
  </si>
  <si>
    <t>Hora</t>
  </si>
  <si>
    <t>Quadra</t>
  </si>
  <si>
    <t>Equipe 1</t>
  </si>
  <si>
    <t>Equipe 2</t>
  </si>
  <si>
    <t>PRO</t>
  </si>
  <si>
    <t>CONTRA</t>
  </si>
  <si>
    <t>MEDIA</t>
  </si>
  <si>
    <t>X</t>
  </si>
  <si>
    <t>AVERAGE</t>
  </si>
  <si>
    <t>DUPLA</t>
  </si>
  <si>
    <t>Dupla</t>
  </si>
  <si>
    <t>CLASSIFICADOS</t>
  </si>
  <si>
    <t>POSIÇÃO</t>
  </si>
  <si>
    <t>VITÓRIAS</t>
  </si>
  <si>
    <t>A</t>
  </si>
  <si>
    <t>B</t>
  </si>
  <si>
    <t>Grupo</t>
  </si>
  <si>
    <t>GRUPO A</t>
  </si>
  <si>
    <t>GRUPO B</t>
  </si>
  <si>
    <t>SEMIFINAIS</t>
  </si>
  <si>
    <t>FASE DE GRUPOS</t>
  </si>
  <si>
    <t>Distribuição pelo ranking no modo serpentina</t>
  </si>
  <si>
    <t>RANKING 2025</t>
  </si>
  <si>
    <t>GRUPO C</t>
  </si>
  <si>
    <t>GRUPO D</t>
  </si>
  <si>
    <t>RK</t>
  </si>
  <si>
    <t>CÓD</t>
  </si>
  <si>
    <t>A1</t>
  </si>
  <si>
    <t>B1</t>
  </si>
  <si>
    <t>C1</t>
  </si>
  <si>
    <t>D1</t>
  </si>
  <si>
    <t>A2</t>
  </si>
  <si>
    <t>B2</t>
  </si>
  <si>
    <t>C2</t>
  </si>
  <si>
    <t>D2</t>
  </si>
  <si>
    <t>9º</t>
  </si>
  <si>
    <t>A3</t>
  </si>
  <si>
    <t>10º</t>
  </si>
  <si>
    <t>B3</t>
  </si>
  <si>
    <t>11º</t>
  </si>
  <si>
    <t>C3</t>
  </si>
  <si>
    <t>12º</t>
  </si>
  <si>
    <t>D3</t>
  </si>
  <si>
    <t>16º</t>
  </si>
  <si>
    <t>A4</t>
  </si>
  <si>
    <t>15º</t>
  </si>
  <si>
    <t>B4</t>
  </si>
  <si>
    <t>14º</t>
  </si>
  <si>
    <t>C4</t>
  </si>
  <si>
    <t>13º</t>
  </si>
  <si>
    <t>D4</t>
  </si>
  <si>
    <t>Ranking 1</t>
  </si>
  <si>
    <t>Sorteio</t>
  </si>
  <si>
    <t>Ranking 9</t>
  </si>
  <si>
    <t>Ranking 2</t>
  </si>
  <si>
    <t>Ranking 10</t>
  </si>
  <si>
    <t>Ranking 3</t>
  </si>
  <si>
    <t>Ranking 11</t>
  </si>
  <si>
    <t>Ranking 4</t>
  </si>
  <si>
    <t>Ranking 12</t>
  </si>
  <si>
    <t>Ranking 5</t>
  </si>
  <si>
    <t>Ranking 13</t>
  </si>
  <si>
    <t>Ranking 6</t>
  </si>
  <si>
    <t>Ranking 14</t>
  </si>
  <si>
    <t>Ranking 7</t>
  </si>
  <si>
    <t>Ranking 15</t>
  </si>
  <si>
    <t>Ranking 8</t>
  </si>
  <si>
    <t>Ranking 16</t>
  </si>
  <si>
    <t>PREENCHER CÉLULAS LARANJA</t>
  </si>
  <si>
    <t>Código</t>
  </si>
  <si>
    <t>C</t>
  </si>
  <si>
    <t>D</t>
  </si>
  <si>
    <t>QUARTAS DE FINAL</t>
  </si>
  <si>
    <t>QF</t>
  </si>
  <si>
    <t>SF</t>
  </si>
  <si>
    <t>Venc. Jogo 25</t>
  </si>
  <si>
    <t>Venc. Jogo 26</t>
  </si>
  <si>
    <t>DISPUTA 3º LUGAR</t>
  </si>
  <si>
    <t>F1</t>
  </si>
  <si>
    <t>FINAL</t>
  </si>
  <si>
    <t>F2</t>
  </si>
  <si>
    <t>CLASSIFICAÇÃO NO GRUPO</t>
  </si>
  <si>
    <t>1º Geral</t>
  </si>
  <si>
    <t>2º Geral</t>
  </si>
  <si>
    <t>3º Geral</t>
  </si>
  <si>
    <t>4º Geral</t>
  </si>
  <si>
    <t>5º Geral</t>
  </si>
  <si>
    <t>6º Geral</t>
  </si>
  <si>
    <t>7º Geral</t>
  </si>
  <si>
    <t>8º Geral</t>
  </si>
  <si>
    <t>VJ1</t>
  </si>
  <si>
    <t>Vencedor J1</t>
  </si>
  <si>
    <t>Vencedor J5</t>
  </si>
  <si>
    <t>VJ2</t>
  </si>
  <si>
    <t>Vencedor J2</t>
  </si>
  <si>
    <t>Vencedor J6</t>
  </si>
  <si>
    <t>Vencedor J3</t>
  </si>
  <si>
    <t>Vencedor J7</t>
  </si>
  <si>
    <t>Vencedor J4</t>
  </si>
  <si>
    <t>Vencedor J8</t>
  </si>
  <si>
    <t>VJ3</t>
  </si>
  <si>
    <t>VJ4</t>
  </si>
  <si>
    <t>VJ5</t>
  </si>
  <si>
    <t>VJ6</t>
  </si>
  <si>
    <t>VJ14</t>
  </si>
  <si>
    <t>VJ7</t>
  </si>
  <si>
    <t>VJ8</t>
  </si>
  <si>
    <t>PJ1</t>
  </si>
  <si>
    <t>PJ5</t>
  </si>
  <si>
    <t>PJ2</t>
  </si>
  <si>
    <t>PJ6</t>
  </si>
  <si>
    <t>PJ3</t>
  </si>
  <si>
    <t>PJ4</t>
  </si>
  <si>
    <t>PJ7</t>
  </si>
  <si>
    <t>PJ8</t>
  </si>
  <si>
    <t>Perdedor J1</t>
  </si>
  <si>
    <t>Perdedor  J2</t>
  </si>
  <si>
    <t>Perdedor  J3</t>
  </si>
  <si>
    <t>Perdedor  J4</t>
  </si>
  <si>
    <t>Perdedor J5</t>
  </si>
  <si>
    <t>Perdedor  J6</t>
  </si>
  <si>
    <t>Perdedor J7</t>
  </si>
  <si>
    <t>Perdedor  J8</t>
  </si>
  <si>
    <t>10:00</t>
  </si>
  <si>
    <t>10:20</t>
  </si>
  <si>
    <t>10:40</t>
  </si>
  <si>
    <t>11:00</t>
  </si>
  <si>
    <t>11:20</t>
  </si>
  <si>
    <t>11:40</t>
  </si>
  <si>
    <t>12:00</t>
  </si>
  <si>
    <t>12:20</t>
  </si>
  <si>
    <t>12:40</t>
  </si>
  <si>
    <t>13:00</t>
  </si>
  <si>
    <t>Perdedor J9</t>
  </si>
  <si>
    <t>Vencedor J13</t>
  </si>
  <si>
    <t>Perdedor  J10</t>
  </si>
  <si>
    <t>Perdedor  J11</t>
  </si>
  <si>
    <t>PJ9</t>
  </si>
  <si>
    <t>PJ10</t>
  </si>
  <si>
    <t>PJ11</t>
  </si>
  <si>
    <t>PJ12</t>
  </si>
  <si>
    <t>Vencedor J14</t>
  </si>
  <si>
    <t>Vencedor J15</t>
  </si>
  <si>
    <t>Vencedor J16</t>
  </si>
  <si>
    <t>VJ13</t>
  </si>
  <si>
    <t>VJ15</t>
  </si>
  <si>
    <t>VJ16</t>
  </si>
  <si>
    <t>Venc. Jogo 21</t>
  </si>
  <si>
    <t>Venc. Jogo 23</t>
  </si>
  <si>
    <t>Venc. Jogo 22</t>
  </si>
  <si>
    <t>Venc. Jogo 24</t>
  </si>
  <si>
    <t>Perd. Jogo 25</t>
  </si>
  <si>
    <t>Perd. Jogo 36</t>
  </si>
  <si>
    <t>14:00</t>
  </si>
  <si>
    <t>14:20</t>
  </si>
  <si>
    <t>14:40</t>
  </si>
  <si>
    <t>15:00</t>
  </si>
  <si>
    <t>1G</t>
  </si>
  <si>
    <t>4G</t>
  </si>
  <si>
    <t>2G</t>
  </si>
  <si>
    <t>3G</t>
  </si>
  <si>
    <t>8G</t>
  </si>
  <si>
    <t>5G</t>
  </si>
  <si>
    <t>7G</t>
  </si>
  <si>
    <t>6G</t>
  </si>
  <si>
    <t>VJ21</t>
  </si>
  <si>
    <t>VJ23</t>
  </si>
  <si>
    <t>VJ22</t>
  </si>
  <si>
    <t>VJ24</t>
  </si>
  <si>
    <t>PJ26</t>
  </si>
  <si>
    <t>PJ25</t>
  </si>
  <si>
    <t>VJ25</t>
  </si>
  <si>
    <t>VJ26</t>
  </si>
  <si>
    <t>Tabela</t>
  </si>
  <si>
    <t>Perdedor  J12</t>
  </si>
  <si>
    <t>Aberto Masculino</t>
  </si>
  <si>
    <t>Circuito NCT Vôlei de Praia 2026 - 1ª Etapa - Arena Caffe</t>
  </si>
  <si>
    <t>GRUPOS - Aberto Masculino</t>
  </si>
  <si>
    <t>PC</t>
  </si>
  <si>
    <t>PF</t>
  </si>
  <si>
    <t>TPF</t>
  </si>
  <si>
    <t>TPC</t>
  </si>
  <si>
    <t>Partidas</t>
  </si>
  <si>
    <t>Ponto Average</t>
  </si>
  <si>
    <t>Score</t>
  </si>
  <si>
    <t>Average</t>
  </si>
  <si>
    <t>CLASSIFICAÇÃO GERAL</t>
  </si>
  <si>
    <t>Ordem</t>
  </si>
  <si>
    <t>P.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</si>
</sst>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name val="Aptos"/>
      <family val="2"/>
    </font>
    <font>
      <b/>
      <sz val="14"/>
      <color theme="1"/>
      <name val="Aptos"/>
      <family val="2"/>
    </font>
    <font>
      <sz val="8"/>
      <name val="Calibri"/>
      <family val="2"/>
      <scheme val="minor"/>
    </font>
    <font>
      <b/>
      <sz val="10"/>
      <color theme="1"/>
      <name val="Aptos"/>
      <family val="2"/>
    </font>
    <font>
      <sz val="11"/>
      <color theme="1"/>
      <name val="Aptos"/>
      <family val="2"/>
    </font>
    <font>
      <sz val="12"/>
      <color rgb="FF000000"/>
      <name val="Aptos"/>
      <family val="2"/>
    </font>
    <font>
      <b/>
      <sz val="24"/>
      <color theme="0"/>
      <name val="Aptos"/>
      <family val="2"/>
    </font>
    <font>
      <b/>
      <sz val="12"/>
      <color rgb="FFFF0000"/>
      <name val="Calibri"/>
      <family val="2"/>
      <scheme val="minor"/>
    </font>
    <font>
      <b/>
      <sz val="12"/>
      <color theme="1"/>
      <name val="Aptos"/>
      <family val="2"/>
    </font>
    <font>
      <sz val="12"/>
      <color theme="1"/>
      <name val="Aptos"/>
      <family val="2"/>
    </font>
    <font>
      <b/>
      <sz val="28"/>
      <color theme="1"/>
      <name val="Aptos"/>
      <family val="2"/>
    </font>
    <font>
      <b/>
      <sz val="26"/>
      <color theme="4"/>
      <name val="Aptos"/>
      <family val="2"/>
    </font>
    <font>
      <b/>
      <sz val="12"/>
      <color theme="0"/>
      <name val="Aptos"/>
      <family val="2"/>
    </font>
    <font>
      <b/>
      <sz val="26"/>
      <color theme="0"/>
      <name val="Aptos"/>
      <family val="2"/>
    </font>
    <font>
      <b/>
      <sz val="14"/>
      <name val="Aptos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99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2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0" fillId="3" borderId="17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49" fontId="2" fillId="3" borderId="0" xfId="0" applyNumberFormat="1" applyFont="1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7" xfId="0" applyBorder="1"/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6" fillId="3" borderId="15" xfId="0" applyFont="1" applyFill="1" applyBorder="1" applyAlignment="1">
      <alignment horizontal="center" vertical="center"/>
    </xf>
    <xf numFmtId="0" fontId="16" fillId="3" borderId="20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left" vertical="center"/>
    </xf>
    <xf numFmtId="49" fontId="3" fillId="3" borderId="31" xfId="0" applyNumberFormat="1" applyFont="1" applyFill="1" applyBorder="1" applyAlignment="1">
      <alignment horizontal="left" vertical="center"/>
    </xf>
    <xf numFmtId="0" fontId="0" fillId="0" borderId="25" xfId="0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5" fillId="3" borderId="25" xfId="0" applyFont="1" applyFill="1" applyBorder="1" applyAlignment="1">
      <alignment horizontal="left" vertical="center" indent="1"/>
    </xf>
    <xf numFmtId="0" fontId="15" fillId="3" borderId="36" xfId="0" applyFont="1" applyFill="1" applyBorder="1" applyAlignment="1">
      <alignment horizontal="left" vertical="center" indent="1"/>
    </xf>
    <xf numFmtId="0" fontId="15" fillId="3" borderId="35" xfId="0" applyFont="1" applyFill="1" applyBorder="1" applyAlignment="1">
      <alignment horizontal="right" vertical="center" indent="1"/>
    </xf>
    <xf numFmtId="0" fontId="15" fillId="3" borderId="27" xfId="0" applyFont="1" applyFill="1" applyBorder="1" applyAlignment="1">
      <alignment horizontal="right" vertical="center" indent="1"/>
    </xf>
    <xf numFmtId="0" fontId="15" fillId="3" borderId="32" xfId="0" applyFont="1" applyFill="1" applyBorder="1" applyAlignment="1">
      <alignment horizontal="right" vertical="center" indent="1"/>
    </xf>
    <xf numFmtId="0" fontId="15" fillId="3" borderId="29" xfId="0" applyFont="1" applyFill="1" applyBorder="1" applyAlignment="1">
      <alignment horizontal="left" vertical="center" indent="1"/>
    </xf>
    <xf numFmtId="49" fontId="12" fillId="3" borderId="15" xfId="0" applyNumberFormat="1" applyFont="1" applyFill="1" applyBorder="1" applyAlignment="1">
      <alignment horizontal="center" vertical="center"/>
    </xf>
    <xf numFmtId="49" fontId="12" fillId="3" borderId="20" xfId="0" applyNumberFormat="1" applyFont="1" applyFill="1" applyBorder="1" applyAlignment="1">
      <alignment horizontal="center" vertical="center"/>
    </xf>
    <xf numFmtId="49" fontId="12" fillId="3" borderId="2" xfId="0" applyNumberFormat="1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49" fontId="12" fillId="3" borderId="42" xfId="0" applyNumberFormat="1" applyFont="1" applyFill="1" applyBorder="1" applyAlignment="1">
      <alignment horizontal="center" vertical="center"/>
    </xf>
    <xf numFmtId="49" fontId="12" fillId="3" borderId="43" xfId="0" applyNumberFormat="1" applyFont="1" applyFill="1" applyBorder="1" applyAlignment="1">
      <alignment horizontal="center" vertical="center"/>
    </xf>
    <xf numFmtId="1" fontId="12" fillId="3" borderId="14" xfId="0" applyNumberFormat="1" applyFont="1" applyFill="1" applyBorder="1" applyAlignment="1">
      <alignment horizontal="center" vertical="center"/>
    </xf>
    <xf numFmtId="1" fontId="12" fillId="3" borderId="17" xfId="0" applyNumberFormat="1" applyFont="1" applyFill="1" applyBorder="1" applyAlignment="1">
      <alignment horizontal="center" vertical="center"/>
    </xf>
    <xf numFmtId="49" fontId="12" fillId="3" borderId="13" xfId="0" applyNumberFormat="1" applyFont="1" applyFill="1" applyBorder="1" applyAlignment="1">
      <alignment horizontal="center" vertical="center"/>
    </xf>
    <xf numFmtId="0" fontId="16" fillId="3" borderId="13" xfId="0" applyFont="1" applyFill="1" applyBorder="1" applyAlignment="1">
      <alignment horizontal="center" vertical="center"/>
    </xf>
    <xf numFmtId="0" fontId="16" fillId="3" borderId="18" xfId="0" applyFont="1" applyFill="1" applyBorder="1" applyAlignment="1">
      <alignment horizontal="center" vertical="center"/>
    </xf>
    <xf numFmtId="1" fontId="12" fillId="3" borderId="19" xfId="0" applyNumberFormat="1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0" fontId="16" fillId="3" borderId="16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left" vertical="center" indent="1"/>
    </xf>
    <xf numFmtId="0" fontId="15" fillId="3" borderId="15" xfId="0" applyFont="1" applyFill="1" applyBorder="1" applyAlignment="1">
      <alignment horizontal="right" vertical="center" indent="1"/>
    </xf>
    <xf numFmtId="0" fontId="15" fillId="3" borderId="13" xfId="0" applyFont="1" applyFill="1" applyBorder="1" applyAlignment="1">
      <alignment horizontal="left" vertical="center" indent="1"/>
    </xf>
    <xf numFmtId="0" fontId="15" fillId="3" borderId="13" xfId="0" applyFont="1" applyFill="1" applyBorder="1" applyAlignment="1">
      <alignment horizontal="right" vertical="center" indent="1"/>
    </xf>
    <xf numFmtId="0" fontId="15" fillId="3" borderId="20" xfId="0" applyFont="1" applyFill="1" applyBorder="1" applyAlignment="1">
      <alignment horizontal="left" vertical="center" indent="1"/>
    </xf>
    <xf numFmtId="0" fontId="15" fillId="3" borderId="20" xfId="0" applyFont="1" applyFill="1" applyBorder="1" applyAlignment="1">
      <alignment horizontal="right" vertical="center" indent="1"/>
    </xf>
    <xf numFmtId="1" fontId="12" fillId="3" borderId="1" xfId="0" applyNumberFormat="1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1" fontId="12" fillId="4" borderId="14" xfId="0" applyNumberFormat="1" applyFont="1" applyFill="1" applyBorder="1" applyAlignment="1">
      <alignment horizontal="center" vertical="center"/>
    </xf>
    <xf numFmtId="49" fontId="12" fillId="4" borderId="15" xfId="0" applyNumberFormat="1" applyFont="1" applyFill="1" applyBorder="1" applyAlignment="1">
      <alignment horizontal="center" vertical="center"/>
    </xf>
    <xf numFmtId="0" fontId="16" fillId="4" borderId="15" xfId="0" applyFont="1" applyFill="1" applyBorder="1" applyAlignment="1">
      <alignment horizontal="center" vertical="center"/>
    </xf>
    <xf numFmtId="1" fontId="12" fillId="4" borderId="17" xfId="0" applyNumberFormat="1" applyFont="1" applyFill="1" applyBorder="1" applyAlignment="1">
      <alignment horizontal="center" vertical="center"/>
    </xf>
    <xf numFmtId="49" fontId="12" fillId="4" borderId="13" xfId="0" applyNumberFormat="1" applyFont="1" applyFill="1" applyBorder="1" applyAlignment="1">
      <alignment horizontal="center" vertical="center"/>
    </xf>
    <xf numFmtId="0" fontId="16" fillId="4" borderId="13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1" fontId="12" fillId="4" borderId="19" xfId="0" applyNumberFormat="1" applyFont="1" applyFill="1" applyBorder="1" applyAlignment="1">
      <alignment horizontal="center" vertical="center"/>
    </xf>
    <xf numFmtId="49" fontId="12" fillId="4" borderId="20" xfId="0" applyNumberFormat="1" applyFont="1" applyFill="1" applyBorder="1" applyAlignment="1">
      <alignment horizontal="center" vertical="center"/>
    </xf>
    <xf numFmtId="0" fontId="16" fillId="4" borderId="20" xfId="0" applyFont="1" applyFill="1" applyBorder="1" applyAlignment="1">
      <alignment horizontal="center" vertical="center"/>
    </xf>
    <xf numFmtId="0" fontId="16" fillId="4" borderId="21" xfId="0" applyFont="1" applyFill="1" applyBorder="1" applyAlignment="1">
      <alignment horizontal="center" vertical="center"/>
    </xf>
    <xf numFmtId="1" fontId="12" fillId="5" borderId="14" xfId="0" applyNumberFormat="1" applyFont="1" applyFill="1" applyBorder="1" applyAlignment="1">
      <alignment horizontal="center" vertical="center"/>
    </xf>
    <xf numFmtId="49" fontId="12" fillId="5" borderId="15" xfId="0" applyNumberFormat="1" applyFont="1" applyFill="1" applyBorder="1" applyAlignment="1">
      <alignment horizontal="center" vertical="center"/>
    </xf>
    <xf numFmtId="1" fontId="12" fillId="5" borderId="15" xfId="0" applyNumberFormat="1" applyFont="1" applyFill="1" applyBorder="1" applyAlignment="1">
      <alignment horizontal="center" vertical="center"/>
    </xf>
    <xf numFmtId="49" fontId="15" fillId="5" borderId="15" xfId="0" applyNumberFormat="1" applyFont="1" applyFill="1" applyBorder="1" applyAlignment="1">
      <alignment horizontal="center" vertical="center"/>
    </xf>
    <xf numFmtId="0" fontId="16" fillId="5" borderId="15" xfId="0" applyFont="1" applyFill="1" applyBorder="1" applyAlignment="1">
      <alignment horizontal="center" vertical="center"/>
    </xf>
    <xf numFmtId="1" fontId="12" fillId="5" borderId="16" xfId="0" applyNumberFormat="1" applyFont="1" applyFill="1" applyBorder="1" applyAlignment="1">
      <alignment horizontal="center" vertical="center"/>
    </xf>
    <xf numFmtId="1" fontId="12" fillId="5" borderId="17" xfId="0" applyNumberFormat="1" applyFont="1" applyFill="1" applyBorder="1" applyAlignment="1">
      <alignment horizontal="center" vertical="center"/>
    </xf>
    <xf numFmtId="49" fontId="12" fillId="5" borderId="13" xfId="0" applyNumberFormat="1" applyFont="1" applyFill="1" applyBorder="1" applyAlignment="1">
      <alignment horizontal="center" vertical="center"/>
    </xf>
    <xf numFmtId="0" fontId="16" fillId="5" borderId="13" xfId="0" applyFont="1" applyFill="1" applyBorder="1" applyAlignment="1">
      <alignment horizontal="center" vertical="center"/>
    </xf>
    <xf numFmtId="49" fontId="15" fillId="5" borderId="13" xfId="0" applyNumberFormat="1" applyFont="1" applyFill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1" fontId="12" fillId="5" borderId="13" xfId="0" applyNumberFormat="1" applyFont="1" applyFill="1" applyBorder="1" applyAlignment="1">
      <alignment horizontal="center" vertical="center"/>
    </xf>
    <xf numFmtId="1" fontId="12" fillId="5" borderId="18" xfId="0" applyNumberFormat="1" applyFont="1" applyFill="1" applyBorder="1" applyAlignment="1">
      <alignment horizontal="center" vertical="center"/>
    </xf>
    <xf numFmtId="1" fontId="12" fillId="5" borderId="19" xfId="0" applyNumberFormat="1" applyFont="1" applyFill="1" applyBorder="1" applyAlignment="1">
      <alignment horizontal="center" vertical="center"/>
    </xf>
    <xf numFmtId="49" fontId="12" fillId="5" borderId="20" xfId="0" applyNumberFormat="1" applyFont="1" applyFill="1" applyBorder="1" applyAlignment="1">
      <alignment horizontal="center" vertical="center"/>
    </xf>
    <xf numFmtId="0" fontId="16" fillId="5" borderId="20" xfId="0" applyFont="1" applyFill="1" applyBorder="1" applyAlignment="1">
      <alignment horizontal="center" vertical="center"/>
    </xf>
    <xf numFmtId="49" fontId="15" fillId="5" borderId="20" xfId="0" applyNumberFormat="1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1" fillId="5" borderId="13" xfId="0" applyFont="1" applyFill="1" applyBorder="1" applyAlignment="1">
      <alignment horizontal="center" vertical="center"/>
    </xf>
    <xf numFmtId="1" fontId="12" fillId="8" borderId="14" xfId="0" applyNumberFormat="1" applyFont="1" applyFill="1" applyBorder="1" applyAlignment="1">
      <alignment horizontal="center" vertical="center"/>
    </xf>
    <xf numFmtId="49" fontId="12" fillId="8" borderId="15" xfId="0" applyNumberFormat="1" applyFont="1" applyFill="1" applyBorder="1" applyAlignment="1">
      <alignment horizontal="center" vertical="center"/>
    </xf>
    <xf numFmtId="0" fontId="16" fillId="8" borderId="15" xfId="0" applyFont="1" applyFill="1" applyBorder="1" applyAlignment="1">
      <alignment horizontal="center" vertical="center"/>
    </xf>
    <xf numFmtId="49" fontId="16" fillId="8" borderId="15" xfId="0" applyNumberFormat="1" applyFont="1" applyFill="1" applyBorder="1" applyAlignment="1">
      <alignment horizontal="center" vertical="center"/>
    </xf>
    <xf numFmtId="0" fontId="16" fillId="8" borderId="16" xfId="0" applyFont="1" applyFill="1" applyBorder="1" applyAlignment="1">
      <alignment horizontal="center" vertical="center"/>
    </xf>
    <xf numFmtId="1" fontId="12" fillId="8" borderId="17" xfId="0" applyNumberFormat="1" applyFont="1" applyFill="1" applyBorder="1" applyAlignment="1">
      <alignment horizontal="center" vertical="center"/>
    </xf>
    <xf numFmtId="49" fontId="12" fillId="8" borderId="13" xfId="0" applyNumberFormat="1" applyFont="1" applyFill="1" applyBorder="1" applyAlignment="1">
      <alignment horizontal="center" vertical="center"/>
    </xf>
    <xf numFmtId="0" fontId="16" fillId="8" borderId="13" xfId="0" applyFont="1" applyFill="1" applyBorder="1" applyAlignment="1">
      <alignment horizontal="center" vertical="center"/>
    </xf>
    <xf numFmtId="49" fontId="16" fillId="8" borderId="13" xfId="0" applyNumberFormat="1" applyFont="1" applyFill="1" applyBorder="1" applyAlignment="1">
      <alignment horizontal="center" vertical="center"/>
    </xf>
    <xf numFmtId="0" fontId="16" fillId="8" borderId="18" xfId="0" applyFont="1" applyFill="1" applyBorder="1" applyAlignment="1">
      <alignment horizontal="center" vertical="center"/>
    </xf>
    <xf numFmtId="1" fontId="12" fillId="8" borderId="19" xfId="0" applyNumberFormat="1" applyFont="1" applyFill="1" applyBorder="1" applyAlignment="1">
      <alignment horizontal="center" vertical="center"/>
    </xf>
    <xf numFmtId="49" fontId="12" fillId="8" borderId="20" xfId="0" applyNumberFormat="1" applyFont="1" applyFill="1" applyBorder="1" applyAlignment="1">
      <alignment horizontal="center" vertical="center"/>
    </xf>
    <xf numFmtId="0" fontId="16" fillId="8" borderId="20" xfId="0" applyFont="1" applyFill="1" applyBorder="1" applyAlignment="1">
      <alignment horizontal="center" vertical="center"/>
    </xf>
    <xf numFmtId="49" fontId="16" fillId="8" borderId="20" xfId="0" applyNumberFormat="1" applyFont="1" applyFill="1" applyBorder="1" applyAlignment="1">
      <alignment horizontal="center" vertical="center"/>
    </xf>
    <xf numFmtId="0" fontId="16" fillId="8" borderId="21" xfId="0" applyFont="1" applyFill="1" applyBorder="1" applyAlignment="1">
      <alignment horizontal="center" vertical="center"/>
    </xf>
    <xf numFmtId="1" fontId="12" fillId="10" borderId="14" xfId="0" applyNumberFormat="1" applyFont="1" applyFill="1" applyBorder="1" applyAlignment="1">
      <alignment horizontal="center" vertical="center"/>
    </xf>
    <xf numFmtId="49" fontId="12" fillId="10" borderId="15" xfId="0" applyNumberFormat="1" applyFont="1" applyFill="1" applyBorder="1" applyAlignment="1">
      <alignment horizontal="center" vertical="center"/>
    </xf>
    <xf numFmtId="0" fontId="16" fillId="10" borderId="15" xfId="0" applyFont="1" applyFill="1" applyBorder="1" applyAlignment="1">
      <alignment horizontal="center" vertical="center"/>
    </xf>
    <xf numFmtId="49" fontId="16" fillId="10" borderId="15" xfId="0" applyNumberFormat="1" applyFont="1" applyFill="1" applyBorder="1" applyAlignment="1">
      <alignment horizontal="center" vertical="center"/>
    </xf>
    <xf numFmtId="0" fontId="16" fillId="10" borderId="16" xfId="0" applyFont="1" applyFill="1" applyBorder="1" applyAlignment="1">
      <alignment horizontal="center" vertical="center"/>
    </xf>
    <xf numFmtId="1" fontId="12" fillId="10" borderId="17" xfId="0" applyNumberFormat="1" applyFont="1" applyFill="1" applyBorder="1" applyAlignment="1">
      <alignment horizontal="center" vertical="center"/>
    </xf>
    <xf numFmtId="49" fontId="12" fillId="10" borderId="13" xfId="0" applyNumberFormat="1" applyFont="1" applyFill="1" applyBorder="1" applyAlignment="1">
      <alignment horizontal="center" vertical="center"/>
    </xf>
    <xf numFmtId="0" fontId="16" fillId="10" borderId="13" xfId="0" applyFont="1" applyFill="1" applyBorder="1" applyAlignment="1">
      <alignment horizontal="center" vertical="center"/>
    </xf>
    <xf numFmtId="49" fontId="16" fillId="10" borderId="13" xfId="0" applyNumberFormat="1" applyFont="1" applyFill="1" applyBorder="1" applyAlignment="1">
      <alignment horizontal="center" vertical="center"/>
    </xf>
    <xf numFmtId="0" fontId="16" fillId="10" borderId="18" xfId="0" applyFont="1" applyFill="1" applyBorder="1" applyAlignment="1">
      <alignment horizontal="center" vertical="center"/>
    </xf>
    <xf numFmtId="1" fontId="12" fillId="10" borderId="19" xfId="0" applyNumberFormat="1" applyFont="1" applyFill="1" applyBorder="1" applyAlignment="1">
      <alignment horizontal="center" vertical="center"/>
    </xf>
    <xf numFmtId="49" fontId="12" fillId="10" borderId="20" xfId="0" applyNumberFormat="1" applyFont="1" applyFill="1" applyBorder="1" applyAlignment="1">
      <alignment horizontal="center" vertical="center"/>
    </xf>
    <xf numFmtId="0" fontId="16" fillId="10" borderId="20" xfId="0" applyFont="1" applyFill="1" applyBorder="1" applyAlignment="1">
      <alignment horizontal="center" vertical="center"/>
    </xf>
    <xf numFmtId="49" fontId="16" fillId="10" borderId="20" xfId="0" applyNumberFormat="1" applyFont="1" applyFill="1" applyBorder="1" applyAlignment="1">
      <alignment horizontal="center" vertical="center"/>
    </xf>
    <xf numFmtId="0" fontId="16" fillId="10" borderId="21" xfId="0" applyFont="1" applyFill="1" applyBorder="1" applyAlignment="1">
      <alignment horizontal="center" vertical="center"/>
    </xf>
    <xf numFmtId="49" fontId="16" fillId="4" borderId="15" xfId="0" applyNumberFormat="1" applyFont="1" applyFill="1" applyBorder="1" applyAlignment="1">
      <alignment horizontal="center" vertical="center"/>
    </xf>
    <xf numFmtId="0" fontId="16" fillId="4" borderId="16" xfId="0" applyFont="1" applyFill="1" applyBorder="1" applyAlignment="1">
      <alignment horizontal="center" vertical="center"/>
    </xf>
    <xf numFmtId="49" fontId="16" fillId="4" borderId="13" xfId="0" applyNumberFormat="1" applyFont="1" applyFill="1" applyBorder="1" applyAlignment="1">
      <alignment horizontal="center" vertical="center"/>
    </xf>
    <xf numFmtId="49" fontId="16" fillId="4" borderId="20" xfId="0" applyNumberFormat="1" applyFont="1" applyFill="1" applyBorder="1" applyAlignment="1">
      <alignment horizontal="center" vertical="center"/>
    </xf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5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3" borderId="41" xfId="0" applyFont="1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0" borderId="13" xfId="0" applyBorder="1"/>
    <xf numFmtId="0" fontId="0" fillId="0" borderId="3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4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16" fillId="3" borderId="17" xfId="0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left" vertical="center"/>
    </xf>
    <xf numFmtId="49" fontId="15" fillId="3" borderId="18" xfId="0" applyNumberFormat="1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left" vertical="center"/>
    </xf>
    <xf numFmtId="49" fontId="15" fillId="3" borderId="18" xfId="0" applyNumberFormat="1" applyFont="1" applyFill="1" applyBorder="1" applyAlignment="1">
      <alignment horizontal="left" vertical="center"/>
    </xf>
    <xf numFmtId="49" fontId="15" fillId="3" borderId="13" xfId="0" applyNumberFormat="1" applyFont="1" applyFill="1" applyBorder="1" applyAlignment="1">
      <alignment horizontal="left" vertical="center"/>
    </xf>
    <xf numFmtId="0" fontId="16" fillId="3" borderId="19" xfId="0" applyFont="1" applyFill="1" applyBorder="1" applyAlignment="1">
      <alignment horizontal="center" vertical="center"/>
    </xf>
    <xf numFmtId="49" fontId="15" fillId="3" borderId="20" xfId="0" applyNumberFormat="1" applyFont="1" applyFill="1" applyBorder="1" applyAlignment="1">
      <alignment horizontal="left" vertical="center"/>
    </xf>
    <xf numFmtId="49" fontId="15" fillId="3" borderId="21" xfId="0" applyNumberFormat="1" applyFont="1" applyFill="1" applyBorder="1" applyAlignment="1">
      <alignment horizontal="center" vertical="center"/>
    </xf>
    <xf numFmtId="49" fontId="15" fillId="3" borderId="21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6" fillId="3" borderId="26" xfId="0" applyFont="1" applyFill="1" applyBorder="1" applyAlignment="1">
      <alignment horizontal="center" vertical="center"/>
    </xf>
    <xf numFmtId="0" fontId="16" fillId="3" borderId="33" xfId="0" applyFont="1" applyFill="1" applyBorder="1" applyAlignment="1">
      <alignment horizontal="center" vertical="center"/>
    </xf>
    <xf numFmtId="0" fontId="15" fillId="9" borderId="30" xfId="0" applyFont="1" applyFill="1" applyBorder="1" applyAlignment="1">
      <alignment horizontal="left" vertical="center" indent="2"/>
    </xf>
    <xf numFmtId="0" fontId="15" fillId="9" borderId="46" xfId="0" applyFont="1" applyFill="1" applyBorder="1" applyAlignment="1">
      <alignment horizontal="left" vertical="center" indent="2"/>
    </xf>
    <xf numFmtId="0" fontId="15" fillId="9" borderId="37" xfId="0" applyFont="1" applyFill="1" applyBorder="1" applyAlignment="1">
      <alignment horizontal="left" vertical="center" indent="2"/>
    </xf>
    <xf numFmtId="0" fontId="16" fillId="3" borderId="27" xfId="0" applyFont="1" applyFill="1" applyBorder="1" applyAlignment="1">
      <alignment horizontal="center" vertical="center"/>
    </xf>
    <xf numFmtId="0" fontId="16" fillId="3" borderId="36" xfId="0" applyFont="1" applyFill="1" applyBorder="1" applyAlignment="1">
      <alignment horizontal="center" vertical="center"/>
    </xf>
    <xf numFmtId="0" fontId="11" fillId="3" borderId="23" xfId="0" applyFont="1" applyFill="1" applyBorder="1" applyAlignment="1">
      <alignment horizontal="center"/>
    </xf>
    <xf numFmtId="0" fontId="11" fillId="3" borderId="11" xfId="0" applyFont="1" applyFill="1" applyBorder="1" applyAlignment="1">
      <alignment horizontal="center"/>
    </xf>
    <xf numFmtId="0" fontId="14" fillId="3" borderId="0" xfId="0" applyFont="1" applyFill="1" applyAlignment="1">
      <alignment horizontal="center" vertical="center"/>
    </xf>
    <xf numFmtId="0" fontId="16" fillId="3" borderId="24" xfId="0" applyFont="1" applyFill="1" applyBorder="1" applyAlignment="1">
      <alignment horizontal="center" vertical="center"/>
    </xf>
    <xf numFmtId="0" fontId="16" fillId="3" borderId="34" xfId="0" applyFont="1" applyFill="1" applyBorder="1" applyAlignment="1">
      <alignment horizontal="center" vertical="center"/>
    </xf>
    <xf numFmtId="0" fontId="21" fillId="3" borderId="11" xfId="0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/>
    </xf>
    <xf numFmtId="0" fontId="15" fillId="3" borderId="15" xfId="0" applyFont="1" applyFill="1" applyBorder="1" applyAlignment="1">
      <alignment horizontal="center" vertical="center"/>
    </xf>
    <xf numFmtId="0" fontId="16" fillId="3" borderId="30" xfId="0" applyFont="1" applyFill="1" applyBorder="1" applyAlignment="1">
      <alignment horizontal="center" vertical="center"/>
    </xf>
    <xf numFmtId="0" fontId="16" fillId="3" borderId="37" xfId="0" applyFont="1" applyFill="1" applyBorder="1" applyAlignment="1">
      <alignment horizontal="center" vertical="center"/>
    </xf>
    <xf numFmtId="0" fontId="16" fillId="3" borderId="28" xfId="0" applyFont="1" applyFill="1" applyBorder="1" applyAlignment="1">
      <alignment horizontal="center"/>
    </xf>
    <xf numFmtId="49" fontId="15" fillId="3" borderId="22" xfId="0" applyNumberFormat="1" applyFont="1" applyFill="1" applyBorder="1" applyAlignment="1">
      <alignment horizontal="center" vertical="center" wrapText="1"/>
    </xf>
    <xf numFmtId="49" fontId="15" fillId="3" borderId="23" xfId="0" applyNumberFormat="1" applyFont="1" applyFill="1" applyBorder="1" applyAlignment="1">
      <alignment horizontal="center" vertical="center" wrapText="1"/>
    </xf>
    <xf numFmtId="49" fontId="15" fillId="3" borderId="4" xfId="0" applyNumberFormat="1" applyFont="1" applyFill="1" applyBorder="1" applyAlignment="1">
      <alignment horizontal="center" vertical="center" wrapText="1"/>
    </xf>
    <xf numFmtId="49" fontId="19" fillId="3" borderId="6" xfId="0" applyNumberFormat="1" applyFont="1" applyFill="1" applyBorder="1" applyAlignment="1">
      <alignment horizontal="center" vertical="center"/>
    </xf>
    <xf numFmtId="49" fontId="19" fillId="3" borderId="9" xfId="0" applyNumberFormat="1" applyFont="1" applyFill="1" applyBorder="1" applyAlignment="1">
      <alignment horizontal="center" vertical="center"/>
    </xf>
    <xf numFmtId="49" fontId="19" fillId="3" borderId="10" xfId="0" applyNumberFormat="1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11" fillId="3" borderId="12" xfId="0" applyFont="1" applyFill="1" applyBorder="1" applyAlignment="1">
      <alignment horizontal="center"/>
    </xf>
    <xf numFmtId="0" fontId="20" fillId="12" borderId="22" xfId="0" applyFont="1" applyFill="1" applyBorder="1" applyAlignment="1">
      <alignment horizontal="center" vertical="center"/>
    </xf>
    <xf numFmtId="0" fontId="20" fillId="12" borderId="23" xfId="0" applyFont="1" applyFill="1" applyBorder="1" applyAlignment="1">
      <alignment horizontal="center" vertical="center"/>
    </xf>
    <xf numFmtId="0" fontId="20" fillId="12" borderId="4" xfId="0" applyFont="1" applyFill="1" applyBorder="1" applyAlignment="1">
      <alignment horizontal="center" vertical="center"/>
    </xf>
    <xf numFmtId="49" fontId="7" fillId="3" borderId="22" xfId="0" applyNumberFormat="1" applyFont="1" applyFill="1" applyBorder="1" applyAlignment="1">
      <alignment horizontal="center" vertical="center"/>
    </xf>
    <xf numFmtId="49" fontId="7" fillId="3" borderId="23" xfId="0" applyNumberFormat="1" applyFont="1" applyFill="1" applyBorder="1" applyAlignment="1">
      <alignment horizontal="center" vertical="center"/>
    </xf>
    <xf numFmtId="49" fontId="7" fillId="3" borderId="4" xfId="0" applyNumberFormat="1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49" fontId="15" fillId="3" borderId="6" xfId="0" applyNumberFormat="1" applyFont="1" applyFill="1" applyBorder="1" applyAlignment="1">
      <alignment horizontal="center" vertical="center" wrapText="1"/>
    </xf>
    <xf numFmtId="49" fontId="15" fillId="3" borderId="7" xfId="0" applyNumberFormat="1" applyFont="1" applyFill="1" applyBorder="1" applyAlignment="1">
      <alignment horizontal="center" vertical="center" wrapText="1"/>
    </xf>
    <xf numFmtId="49" fontId="15" fillId="3" borderId="8" xfId="0" applyNumberFormat="1" applyFont="1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4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17" fillId="2" borderId="22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10" borderId="22" xfId="0" applyFont="1" applyFill="1" applyBorder="1" applyAlignment="1">
      <alignment horizontal="center" vertical="center"/>
    </xf>
    <xf numFmtId="0" fontId="5" fillId="10" borderId="23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49" fontId="2" fillId="3" borderId="6" xfId="0" applyNumberFormat="1" applyFont="1" applyFill="1" applyBorder="1" applyAlignment="1">
      <alignment horizontal="center" vertical="center"/>
    </xf>
    <xf numFmtId="49" fontId="2" fillId="3" borderId="7" xfId="0" applyNumberFormat="1" applyFont="1" applyFill="1" applyBorder="1" applyAlignment="1">
      <alignment horizontal="center" vertical="center"/>
    </xf>
    <xf numFmtId="49" fontId="2" fillId="3" borderId="8" xfId="0" applyNumberFormat="1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/>
    </xf>
    <xf numFmtId="0" fontId="3" fillId="3" borderId="44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 wrapText="1"/>
    </xf>
    <xf numFmtId="0" fontId="3" fillId="3" borderId="43" xfId="0" applyFont="1" applyFill="1" applyBorder="1" applyAlignment="1">
      <alignment horizontal="center" vertical="center" wrapText="1"/>
    </xf>
    <xf numFmtId="0" fontId="3" fillId="3" borderId="42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49" fontId="2" fillId="3" borderId="9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6" fillId="3" borderId="11" xfId="0" applyFont="1" applyFill="1" applyBorder="1" applyAlignment="1">
      <alignment horizontal="center"/>
    </xf>
    <xf numFmtId="49" fontId="15" fillId="11" borderId="6" xfId="0" applyNumberFormat="1" applyFont="1" applyFill="1" applyBorder="1" applyAlignment="1">
      <alignment horizontal="center" vertical="center"/>
    </xf>
    <xf numFmtId="49" fontId="15" fillId="11" borderId="7" xfId="0" applyNumberFormat="1" applyFont="1" applyFill="1" applyBorder="1" applyAlignment="1">
      <alignment horizontal="center" vertical="center"/>
    </xf>
    <xf numFmtId="49" fontId="15" fillId="11" borderId="8" xfId="0" applyNumberFormat="1" applyFont="1" applyFill="1" applyBorder="1" applyAlignment="1">
      <alignment horizontal="center" vertical="center"/>
    </xf>
    <xf numFmtId="0" fontId="17" fillId="6" borderId="22" xfId="0" applyFont="1" applyFill="1" applyBorder="1" applyAlignment="1">
      <alignment horizontal="center" vertical="center"/>
    </xf>
    <xf numFmtId="0" fontId="17" fillId="6" borderId="23" xfId="0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center" vertical="center"/>
    </xf>
    <xf numFmtId="49" fontId="15" fillId="11" borderId="22" xfId="0" applyNumberFormat="1" applyFont="1" applyFill="1" applyBorder="1" applyAlignment="1">
      <alignment horizontal="center" vertical="center"/>
    </xf>
    <xf numFmtId="49" fontId="15" fillId="11" borderId="23" xfId="0" applyNumberFormat="1" applyFont="1" applyFill="1" applyBorder="1" applyAlignment="1">
      <alignment horizontal="center" vertical="center"/>
    </xf>
    <xf numFmtId="49" fontId="15" fillId="11" borderId="4" xfId="0" applyNumberFormat="1" applyFont="1" applyFill="1" applyBorder="1" applyAlignment="1">
      <alignment horizontal="center" vertical="center"/>
    </xf>
    <xf numFmtId="0" fontId="13" fillId="7" borderId="22" xfId="0" applyFont="1" applyFill="1" applyBorder="1" applyAlignment="1">
      <alignment horizontal="center" vertical="center"/>
    </xf>
    <xf numFmtId="0" fontId="13" fillId="7" borderId="23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18" fillId="3" borderId="22" xfId="0" applyFont="1" applyFill="1" applyBorder="1" applyAlignment="1">
      <alignment horizontal="center" vertical="center"/>
    </xf>
    <xf numFmtId="0" fontId="18" fillId="3" borderId="23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0" fillId="9" borderId="39" xfId="0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</cellXfs>
  <cellStyles count="2">
    <cellStyle name="Normal" xfId="0" builtinId="0"/>
    <cellStyle name="Vírgula 2" xfId="1" xr:uid="{F148B815-FFD2-4B40-97DE-B882CA3A15FD}"/>
  </cellStyles>
  <dxfs count="0"/>
  <tableStyles count="0" defaultTableStyle="TableStyleMedium2" defaultPivotStyle="PivotStyleLight16"/>
  <colors>
    <mruColors>
      <color rgb="FF000099"/>
      <color rgb="FFFF5050"/>
      <color rgb="FFFFCCFF"/>
      <color rgb="FFCC00FF"/>
      <color rgb="FFFFFF99"/>
      <color rgb="FFFF33CC"/>
      <color rgb="FFCC9900"/>
      <color rgb="FFFFCC00"/>
      <color rgb="FFF1DD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3</xdr:row>
      <xdr:rowOff>0</xdr:rowOff>
    </xdr:from>
    <xdr:to>
      <xdr:col>18</xdr:col>
      <xdr:colOff>304800</xdr:colOff>
      <xdr:row>3</xdr:row>
      <xdr:rowOff>304800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D81B4BB5-3F11-42A8-A2C6-DE4690E19950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18</xdr:col>
      <xdr:colOff>0</xdr:colOff>
      <xdr:row>1</xdr:row>
      <xdr:rowOff>0</xdr:rowOff>
    </xdr:from>
    <xdr:ext cx="304800" cy="304800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767FC5CC-C783-463C-B066-9FA2D2F344FE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</xdr:row>
      <xdr:rowOff>0</xdr:rowOff>
    </xdr:from>
    <xdr:ext cx="304800" cy="304800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DCDCDD08-1337-40BE-96EA-AE3A060CACD2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</xdr:row>
      <xdr:rowOff>0</xdr:rowOff>
    </xdr:from>
    <xdr:ext cx="304800" cy="304800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A6116D94-9CA6-4898-A1A2-757FDF871DC0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8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</xdr:row>
      <xdr:rowOff>0</xdr:rowOff>
    </xdr:from>
    <xdr:ext cx="304800" cy="304800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CD608AF7-04C7-4236-B26E-E800A8B9131E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8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3</xdr:row>
      <xdr:rowOff>0</xdr:rowOff>
    </xdr:from>
    <xdr:ext cx="304800" cy="304800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D97AAB52-4F8D-4575-B17F-57DA683E244E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3</xdr:row>
      <xdr:rowOff>0</xdr:rowOff>
    </xdr:from>
    <xdr:ext cx="304800" cy="304800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87BFECF6-934B-47C4-BA81-9BC98C82FBC1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</xdr:row>
      <xdr:rowOff>0</xdr:rowOff>
    </xdr:from>
    <xdr:ext cx="304800" cy="304800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A23A783B-C1E4-4BEA-8121-33DEF1624EFB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</xdr:row>
      <xdr:rowOff>0</xdr:rowOff>
    </xdr:from>
    <xdr:ext cx="304800" cy="304800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987525F2-C416-4D73-B854-579DCE383B7F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3</xdr:row>
      <xdr:rowOff>0</xdr:rowOff>
    </xdr:from>
    <xdr:ext cx="304800" cy="304800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4E2B0766-C005-4165-8B52-8EA8EDA7B279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3</xdr:row>
      <xdr:rowOff>0</xdr:rowOff>
    </xdr:from>
    <xdr:ext cx="304800" cy="304800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6CACF4F1-17BD-479C-8697-60C2FF26E072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</xdr:row>
      <xdr:rowOff>0</xdr:rowOff>
    </xdr:from>
    <xdr:ext cx="304800" cy="304800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55BC1BA2-298B-49C6-B384-B743B3C2BCB9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</xdr:row>
      <xdr:rowOff>0</xdr:rowOff>
    </xdr:from>
    <xdr:ext cx="304800" cy="304800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EAE95563-FCEC-479D-B0AB-16D88A67DE26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</xdr:row>
      <xdr:rowOff>0</xdr:rowOff>
    </xdr:from>
    <xdr:ext cx="304800" cy="304800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D60626E4-D15C-407E-82C3-E591B30D99BB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8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</xdr:row>
      <xdr:rowOff>0</xdr:rowOff>
    </xdr:from>
    <xdr:ext cx="304800" cy="30480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5555DF1F-3391-4040-99F0-FB304F66DB35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8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3</xdr:row>
      <xdr:rowOff>0</xdr:rowOff>
    </xdr:from>
    <xdr:ext cx="304800" cy="304800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B88BD87D-1C1C-42C0-A1E3-F5E613F07E68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3</xdr:row>
      <xdr:rowOff>0</xdr:rowOff>
    </xdr:from>
    <xdr:ext cx="304800" cy="30480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50C80C22-528F-48AD-A013-BA63CA6DEC73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</xdr:row>
      <xdr:rowOff>0</xdr:rowOff>
    </xdr:from>
    <xdr:ext cx="304800" cy="304800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DB01E4D9-C202-4A83-8F1C-18091D783CB5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</xdr:row>
      <xdr:rowOff>0</xdr:rowOff>
    </xdr:from>
    <xdr:ext cx="304800" cy="30480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AEDC6E04-8134-470A-B9A1-D57BADEA1427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</xdr:row>
      <xdr:rowOff>0</xdr:rowOff>
    </xdr:from>
    <xdr:ext cx="304800" cy="304800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79D70AAB-6A9D-486B-BB86-A7D447F14361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8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</xdr:row>
      <xdr:rowOff>0</xdr:rowOff>
    </xdr:from>
    <xdr:ext cx="304800" cy="30480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12FC2576-01AD-4F8E-AFC4-B05A22704F7E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8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3</xdr:row>
      <xdr:rowOff>0</xdr:rowOff>
    </xdr:from>
    <xdr:ext cx="304800" cy="304800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4869232E-A5F1-4F42-9B6D-7F64AD14AFB0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3</xdr:row>
      <xdr:rowOff>0</xdr:rowOff>
    </xdr:from>
    <xdr:ext cx="304800" cy="304800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9DC7FD63-C8E5-4BFF-8313-A53FC3E097A5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</xdr:row>
      <xdr:rowOff>0</xdr:rowOff>
    </xdr:from>
    <xdr:ext cx="304800" cy="304800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9A102D9B-95F7-41D0-8903-58F765818698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</xdr:row>
      <xdr:rowOff>0</xdr:rowOff>
    </xdr:from>
    <xdr:ext cx="304800" cy="304800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9DB145C7-BD77-41D7-866A-DCC969179C0C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</xdr:row>
      <xdr:rowOff>0</xdr:rowOff>
    </xdr:from>
    <xdr:ext cx="304800" cy="304800"/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5C61EACE-7E6C-4819-BBD6-CF6CC19522A7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8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</xdr:row>
      <xdr:rowOff>0</xdr:rowOff>
    </xdr:from>
    <xdr:ext cx="304800" cy="304800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D12DACA3-513D-4CAA-ADBC-FEDA79BDC5CD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8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18</xdr:col>
      <xdr:colOff>0</xdr:colOff>
      <xdr:row>3</xdr:row>
      <xdr:rowOff>47625</xdr:rowOff>
    </xdr:from>
    <xdr:to>
      <xdr:col>19</xdr:col>
      <xdr:colOff>235883</xdr:colOff>
      <xdr:row>3</xdr:row>
      <xdr:rowOff>338893</xdr:rowOff>
    </xdr:to>
    <xdr:sp macro="" textlink="">
      <xdr:nvSpPr>
        <xdr:cNvPr id="29" name="AutoShape 1" descr="Flor rosa Vetor 52 Vetor para download gratuito | FreeImages">
          <a:extLst>
            <a:ext uri="{FF2B5EF4-FFF2-40B4-BE49-F238E27FC236}">
              <a16:creationId xmlns:a16="http://schemas.microsoft.com/office/drawing/2014/main" id="{B1967021-5D5F-430D-9F23-1F4971A9F217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2447925"/>
          <a:ext cx="845483" cy="2912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</xdr:row>
      <xdr:rowOff>0</xdr:rowOff>
    </xdr:from>
    <xdr:to>
      <xdr:col>18</xdr:col>
      <xdr:colOff>304800</xdr:colOff>
      <xdr:row>1</xdr:row>
      <xdr:rowOff>304800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1C7AF37D-DA97-4642-B094-80A49F887A06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18</xdr:col>
      <xdr:colOff>0</xdr:colOff>
      <xdr:row>1</xdr:row>
      <xdr:rowOff>0</xdr:rowOff>
    </xdr:from>
    <xdr:ext cx="304800" cy="304800"/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A9CD1C12-974B-4F51-9698-F8403409236E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18</xdr:col>
      <xdr:colOff>0</xdr:colOff>
      <xdr:row>1</xdr:row>
      <xdr:rowOff>0</xdr:rowOff>
    </xdr:from>
    <xdr:to>
      <xdr:col>18</xdr:col>
      <xdr:colOff>304800</xdr:colOff>
      <xdr:row>1</xdr:row>
      <xdr:rowOff>304800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BFDFFD88-B736-4755-BE89-EBC75B8F7DF4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18</xdr:col>
      <xdr:colOff>0</xdr:colOff>
      <xdr:row>1</xdr:row>
      <xdr:rowOff>0</xdr:rowOff>
    </xdr:from>
    <xdr:ext cx="304800" cy="304800"/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0B6D9CBF-7F0B-4A23-8B62-1E7DFDD1464C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18</xdr:col>
      <xdr:colOff>0</xdr:colOff>
      <xdr:row>1</xdr:row>
      <xdr:rowOff>0</xdr:rowOff>
    </xdr:from>
    <xdr:to>
      <xdr:col>18</xdr:col>
      <xdr:colOff>304800</xdr:colOff>
      <xdr:row>1</xdr:row>
      <xdr:rowOff>304800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55037701-DC14-4383-B3DE-A296F6AB83D1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18</xdr:col>
      <xdr:colOff>0</xdr:colOff>
      <xdr:row>1</xdr:row>
      <xdr:rowOff>0</xdr:rowOff>
    </xdr:from>
    <xdr:ext cx="304800" cy="304800"/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42810E3B-A20B-45F8-9276-6FB20F131D15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100855</xdr:colOff>
      <xdr:row>1</xdr:row>
      <xdr:rowOff>67236</xdr:rowOff>
    </xdr:from>
    <xdr:to>
      <xdr:col>2</xdr:col>
      <xdr:colOff>145677</xdr:colOff>
      <xdr:row>1</xdr:row>
      <xdr:rowOff>747979</xdr:rowOff>
    </xdr:to>
    <xdr:pic>
      <xdr:nvPicPr>
        <xdr:cNvPr id="2" name="Imagem 1" descr="Logotipo&#10;&#10;Descrição gerada automaticamente">
          <a:extLst>
            <a:ext uri="{FF2B5EF4-FFF2-40B4-BE49-F238E27FC236}">
              <a16:creationId xmlns:a16="http://schemas.microsoft.com/office/drawing/2014/main" id="{F55F3DD3-69CE-414E-BE94-225078873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620" y="448236"/>
          <a:ext cx="627528" cy="680743"/>
        </a:xfrm>
        <a:prstGeom prst="rect">
          <a:avLst/>
        </a:prstGeom>
        <a:solidFill>
          <a:sysClr val="window" lastClr="FFFFFF"/>
        </a:solidFill>
      </xdr:spPr>
    </xdr:pic>
    <xdr:clientData/>
  </xdr:twoCellAnchor>
  <xdr:twoCellAnchor editAs="oneCell">
    <xdr:from>
      <xdr:col>10</xdr:col>
      <xdr:colOff>2196366</xdr:colOff>
      <xdr:row>1</xdr:row>
      <xdr:rowOff>78442</xdr:rowOff>
    </xdr:from>
    <xdr:to>
      <xdr:col>11</xdr:col>
      <xdr:colOff>484033</xdr:colOff>
      <xdr:row>1</xdr:row>
      <xdr:rowOff>750794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22A6BEB-A62B-8CDB-DDA2-12E523CB9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5866" y="459442"/>
          <a:ext cx="607285" cy="6723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0C18C-59AD-433D-BCDD-C5B50A607B90}">
  <sheetPr>
    <pageSetUpPr fitToPage="1"/>
  </sheetPr>
  <dimension ref="A1:Q39"/>
  <sheetViews>
    <sheetView showGridLines="0" tabSelected="1" zoomScale="85" zoomScaleNormal="85" workbookViewId="0">
      <selection activeCell="R8" sqref="R8"/>
    </sheetView>
  </sheetViews>
  <sheetFormatPr defaultRowHeight="15" x14ac:dyDescent="0.25"/>
  <cols>
    <col min="1" max="1" width="4.7109375" customWidth="1"/>
    <col min="2" max="2" width="10.7109375" customWidth="1"/>
    <col min="3" max="3" width="34.7109375" customWidth="1"/>
    <col min="4" max="4" width="5.7109375" customWidth="1"/>
    <col min="5" max="5" width="1.7109375" customWidth="1"/>
    <col min="6" max="6" width="10.7109375" customWidth="1"/>
    <col min="7" max="7" width="34.7109375" customWidth="1"/>
    <col min="8" max="8" width="5.7109375" customWidth="1"/>
    <col min="9" max="9" width="1.7109375" customWidth="1"/>
    <col min="10" max="10" width="10.7109375" customWidth="1"/>
    <col min="11" max="11" width="34.7109375" customWidth="1"/>
    <col min="12" max="12" width="5.7109375" customWidth="1"/>
    <col min="13" max="13" width="1.7109375" customWidth="1"/>
    <col min="14" max="14" width="13.85546875" customWidth="1"/>
    <col min="15" max="15" width="34.7109375" customWidth="1"/>
    <col min="16" max="16" width="5.7109375" customWidth="1"/>
    <col min="17" max="17" width="4.7109375" customWidth="1"/>
  </cols>
  <sheetData>
    <row r="1" spans="1:17" ht="30" customHeight="1" thickBot="1" x14ac:dyDescent="0.3">
      <c r="A1" s="183"/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86"/>
    </row>
    <row r="2" spans="1:17" ht="60" customHeight="1" thickBot="1" x14ac:dyDescent="0.3">
      <c r="A2" s="184"/>
      <c r="B2" s="189" t="s">
        <v>186</v>
      </c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1"/>
      <c r="Q2" s="187"/>
    </row>
    <row r="3" spans="1:17" ht="39.950000000000003" customHeight="1" thickBot="1" x14ac:dyDescent="0.3">
      <c r="A3" s="184"/>
      <c r="B3" s="192" t="s">
        <v>187</v>
      </c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4"/>
      <c r="Q3" s="187"/>
    </row>
    <row r="4" spans="1:17" ht="30" customHeight="1" thickBot="1" x14ac:dyDescent="0.3">
      <c r="A4" s="184"/>
      <c r="B4" s="195" t="s">
        <v>31</v>
      </c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7"/>
      <c r="Q4" s="187"/>
    </row>
    <row r="5" spans="1:17" ht="30" customHeight="1" thickBot="1" x14ac:dyDescent="0.3">
      <c r="A5" s="184"/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87"/>
    </row>
    <row r="6" spans="1:17" ht="30" customHeight="1" thickBot="1" x14ac:dyDescent="0.3">
      <c r="A6" s="184"/>
      <c r="B6" s="199" t="s">
        <v>27</v>
      </c>
      <c r="C6" s="200"/>
      <c r="D6" s="201"/>
      <c r="E6" s="179"/>
      <c r="F6" s="180" t="s">
        <v>28</v>
      </c>
      <c r="G6" s="181"/>
      <c r="H6" s="182"/>
      <c r="I6" s="179"/>
      <c r="J6" s="180" t="s">
        <v>33</v>
      </c>
      <c r="K6" s="181"/>
      <c r="L6" s="182"/>
      <c r="M6" s="179"/>
      <c r="N6" s="180" t="s">
        <v>34</v>
      </c>
      <c r="O6" s="181"/>
      <c r="P6" s="182"/>
      <c r="Q6" s="187"/>
    </row>
    <row r="7" spans="1:17" ht="30" customHeight="1" x14ac:dyDescent="0.25">
      <c r="A7" s="184"/>
      <c r="B7" s="145" t="s">
        <v>35</v>
      </c>
      <c r="C7" s="146" t="s">
        <v>19</v>
      </c>
      <c r="D7" s="147" t="s">
        <v>36</v>
      </c>
      <c r="E7" s="179"/>
      <c r="F7" s="145" t="s">
        <v>35</v>
      </c>
      <c r="G7" s="147" t="s">
        <v>19</v>
      </c>
      <c r="H7" s="147" t="s">
        <v>36</v>
      </c>
      <c r="I7" s="179"/>
      <c r="J7" s="145" t="s">
        <v>35</v>
      </c>
      <c r="K7" s="147" t="s">
        <v>19</v>
      </c>
      <c r="L7" s="147" t="s">
        <v>36</v>
      </c>
      <c r="M7" s="179"/>
      <c r="N7" s="145" t="s">
        <v>35</v>
      </c>
      <c r="O7" s="147" t="s">
        <v>19</v>
      </c>
      <c r="P7" s="147" t="s">
        <v>36</v>
      </c>
      <c r="Q7" s="187"/>
    </row>
    <row r="8" spans="1:17" ht="30" customHeight="1" x14ac:dyDescent="0.25">
      <c r="A8" s="184"/>
      <c r="B8" s="148" t="s">
        <v>1</v>
      </c>
      <c r="C8" s="149" t="str">
        <f>C14</f>
        <v>Ranking 1</v>
      </c>
      <c r="D8" s="150" t="s">
        <v>37</v>
      </c>
      <c r="E8" s="179"/>
      <c r="F8" s="148" t="s">
        <v>3</v>
      </c>
      <c r="G8" s="151" t="str">
        <f>C15</f>
        <v>Ranking 2</v>
      </c>
      <c r="H8" s="150" t="s">
        <v>38</v>
      </c>
      <c r="I8" s="179"/>
      <c r="J8" s="148" t="s">
        <v>4</v>
      </c>
      <c r="K8" s="152" t="str">
        <f>C16</f>
        <v>Ranking 3</v>
      </c>
      <c r="L8" s="150" t="s">
        <v>39</v>
      </c>
      <c r="M8" s="179"/>
      <c r="N8" s="148" t="s">
        <v>2</v>
      </c>
      <c r="O8" s="152" t="str">
        <f>C17</f>
        <v>Ranking 4</v>
      </c>
      <c r="P8" s="150" t="s">
        <v>40</v>
      </c>
      <c r="Q8" s="187"/>
    </row>
    <row r="9" spans="1:17" ht="30" customHeight="1" x14ac:dyDescent="0.25">
      <c r="A9" s="184"/>
      <c r="B9" s="148" t="s">
        <v>8</v>
      </c>
      <c r="C9" s="153" t="str">
        <f>C21</f>
        <v>Ranking 8</v>
      </c>
      <c r="D9" s="150" t="s">
        <v>41</v>
      </c>
      <c r="E9" s="179"/>
      <c r="F9" s="148" t="s">
        <v>7</v>
      </c>
      <c r="G9" s="152" t="str">
        <f>C20</f>
        <v>Ranking 7</v>
      </c>
      <c r="H9" s="150" t="s">
        <v>42</v>
      </c>
      <c r="I9" s="179"/>
      <c r="J9" s="148" t="s">
        <v>6</v>
      </c>
      <c r="K9" s="152" t="str">
        <f>C19</f>
        <v>Ranking 6</v>
      </c>
      <c r="L9" s="150" t="s">
        <v>43</v>
      </c>
      <c r="M9" s="179"/>
      <c r="N9" s="148" t="s">
        <v>5</v>
      </c>
      <c r="O9" s="152" t="str">
        <f>C18</f>
        <v>Ranking 5</v>
      </c>
      <c r="P9" s="150" t="s">
        <v>44</v>
      </c>
      <c r="Q9" s="187"/>
    </row>
    <row r="10" spans="1:17" ht="30" customHeight="1" x14ac:dyDescent="0.25">
      <c r="A10" s="184"/>
      <c r="B10" s="148" t="s">
        <v>45</v>
      </c>
      <c r="C10" s="153" t="str">
        <f>K14</f>
        <v>Ranking 9</v>
      </c>
      <c r="D10" s="150" t="s">
        <v>46</v>
      </c>
      <c r="E10" s="179"/>
      <c r="F10" s="148" t="s">
        <v>47</v>
      </c>
      <c r="G10" s="152" t="str">
        <f>K15</f>
        <v>Ranking 10</v>
      </c>
      <c r="H10" s="150" t="s">
        <v>48</v>
      </c>
      <c r="I10" s="179"/>
      <c r="J10" s="148" t="s">
        <v>49</v>
      </c>
      <c r="K10" s="152" t="str">
        <f>K16</f>
        <v>Ranking 11</v>
      </c>
      <c r="L10" s="150" t="s">
        <v>50</v>
      </c>
      <c r="M10" s="179"/>
      <c r="N10" s="148" t="s">
        <v>51</v>
      </c>
      <c r="O10" s="152" t="str">
        <f>K17</f>
        <v>Ranking 12</v>
      </c>
      <c r="P10" s="150" t="s">
        <v>52</v>
      </c>
      <c r="Q10" s="187"/>
    </row>
    <row r="11" spans="1:17" ht="30" customHeight="1" thickBot="1" x14ac:dyDescent="0.3">
      <c r="A11" s="184"/>
      <c r="B11" s="154" t="s">
        <v>53</v>
      </c>
      <c r="C11" s="155" t="str">
        <f>K21</f>
        <v>Ranking 16</v>
      </c>
      <c r="D11" s="156" t="s">
        <v>54</v>
      </c>
      <c r="E11" s="179"/>
      <c r="F11" s="154" t="s">
        <v>55</v>
      </c>
      <c r="G11" s="157" t="str">
        <f>K20</f>
        <v>Ranking 15</v>
      </c>
      <c r="H11" s="156" t="s">
        <v>56</v>
      </c>
      <c r="I11" s="179"/>
      <c r="J11" s="154" t="s">
        <v>57</v>
      </c>
      <c r="K11" s="157" t="str">
        <f>K19</f>
        <v>Ranking 14</v>
      </c>
      <c r="L11" s="156" t="s">
        <v>58</v>
      </c>
      <c r="M11" s="179"/>
      <c r="N11" s="154" t="s">
        <v>59</v>
      </c>
      <c r="O11" s="157" t="str">
        <f>K18</f>
        <v>Ranking 13</v>
      </c>
      <c r="P11" s="156" t="s">
        <v>60</v>
      </c>
      <c r="Q11" s="187"/>
    </row>
    <row r="12" spans="1:17" ht="30" customHeight="1" thickBot="1" x14ac:dyDescent="0.3">
      <c r="A12" s="184"/>
      <c r="B12" s="172" t="s">
        <v>32</v>
      </c>
      <c r="C12" s="172"/>
      <c r="D12" s="172"/>
      <c r="E12" s="172"/>
      <c r="F12" s="172"/>
      <c r="G12" s="172"/>
      <c r="H12" s="172"/>
      <c r="I12" s="173"/>
      <c r="J12" s="172"/>
      <c r="K12" s="172"/>
      <c r="L12" s="172"/>
      <c r="M12" s="172"/>
      <c r="N12" s="172"/>
      <c r="O12" s="172"/>
      <c r="P12" s="172"/>
      <c r="Q12" s="187"/>
    </row>
    <row r="13" spans="1:17" ht="30" customHeight="1" thickBot="1" x14ac:dyDescent="0.3">
      <c r="A13" s="184"/>
      <c r="B13" s="158" t="s">
        <v>35</v>
      </c>
      <c r="C13" s="174" t="s">
        <v>20</v>
      </c>
      <c r="D13" s="174"/>
      <c r="E13" s="174"/>
      <c r="F13" s="174"/>
      <c r="G13" s="174"/>
      <c r="H13" s="159" t="s">
        <v>36</v>
      </c>
      <c r="I13" s="175"/>
      <c r="J13" s="145" t="s">
        <v>35</v>
      </c>
      <c r="K13" s="176" t="s">
        <v>20</v>
      </c>
      <c r="L13" s="176"/>
      <c r="M13" s="176"/>
      <c r="N13" s="176"/>
      <c r="O13" s="176"/>
      <c r="P13" s="147" t="s">
        <v>36</v>
      </c>
      <c r="Q13" s="187"/>
    </row>
    <row r="14" spans="1:17" ht="30" customHeight="1" x14ac:dyDescent="0.25">
      <c r="A14" s="184"/>
      <c r="B14" s="160" t="s">
        <v>1</v>
      </c>
      <c r="C14" s="162" t="s">
        <v>61</v>
      </c>
      <c r="D14" s="163"/>
      <c r="E14" s="164"/>
      <c r="F14" s="177" t="s">
        <v>62</v>
      </c>
      <c r="G14" s="178"/>
      <c r="H14" s="161" t="s">
        <v>37</v>
      </c>
      <c r="I14" s="175"/>
      <c r="J14" s="148" t="s">
        <v>45</v>
      </c>
      <c r="K14" s="162" t="s">
        <v>63</v>
      </c>
      <c r="L14" s="163"/>
      <c r="M14" s="164"/>
      <c r="N14" s="177" t="s">
        <v>62</v>
      </c>
      <c r="O14" s="178"/>
      <c r="P14" s="47" t="s">
        <v>46</v>
      </c>
      <c r="Q14" s="187"/>
    </row>
    <row r="15" spans="1:17" ht="30" customHeight="1" x14ac:dyDescent="0.25">
      <c r="A15" s="184"/>
      <c r="B15" s="148" t="s">
        <v>3</v>
      </c>
      <c r="C15" s="162" t="s">
        <v>64</v>
      </c>
      <c r="D15" s="163"/>
      <c r="E15" s="164"/>
      <c r="F15" s="170" t="s">
        <v>62</v>
      </c>
      <c r="G15" s="171"/>
      <c r="H15" s="47" t="s">
        <v>38</v>
      </c>
      <c r="I15" s="175"/>
      <c r="J15" s="148" t="s">
        <v>47</v>
      </c>
      <c r="K15" s="162" t="s">
        <v>65</v>
      </c>
      <c r="L15" s="163"/>
      <c r="M15" s="164"/>
      <c r="N15" s="170" t="s">
        <v>62</v>
      </c>
      <c r="O15" s="171"/>
      <c r="P15" s="47" t="s">
        <v>48</v>
      </c>
      <c r="Q15" s="187"/>
    </row>
    <row r="16" spans="1:17" ht="30" customHeight="1" x14ac:dyDescent="0.25">
      <c r="A16" s="184"/>
      <c r="B16" s="148" t="s">
        <v>4</v>
      </c>
      <c r="C16" s="162" t="s">
        <v>66</v>
      </c>
      <c r="D16" s="163"/>
      <c r="E16" s="164"/>
      <c r="F16" s="170" t="s">
        <v>62</v>
      </c>
      <c r="G16" s="171"/>
      <c r="H16" s="47" t="s">
        <v>39</v>
      </c>
      <c r="I16" s="175"/>
      <c r="J16" s="148" t="s">
        <v>49</v>
      </c>
      <c r="K16" s="162" t="s">
        <v>67</v>
      </c>
      <c r="L16" s="163"/>
      <c r="M16" s="164"/>
      <c r="N16" s="170" t="s">
        <v>62</v>
      </c>
      <c r="O16" s="171"/>
      <c r="P16" s="47" t="s">
        <v>50</v>
      </c>
      <c r="Q16" s="187"/>
    </row>
    <row r="17" spans="1:17" ht="30" customHeight="1" x14ac:dyDescent="0.25">
      <c r="A17" s="184"/>
      <c r="B17" s="148" t="s">
        <v>2</v>
      </c>
      <c r="C17" s="162" t="s">
        <v>68</v>
      </c>
      <c r="D17" s="163"/>
      <c r="E17" s="164"/>
      <c r="F17" s="170" t="s">
        <v>62</v>
      </c>
      <c r="G17" s="171"/>
      <c r="H17" s="47" t="s">
        <v>40</v>
      </c>
      <c r="I17" s="175"/>
      <c r="J17" s="148" t="s">
        <v>51</v>
      </c>
      <c r="K17" s="162" t="s">
        <v>69</v>
      </c>
      <c r="L17" s="163"/>
      <c r="M17" s="164"/>
      <c r="N17" s="170" t="s">
        <v>62</v>
      </c>
      <c r="O17" s="171"/>
      <c r="P17" s="47" t="s">
        <v>52</v>
      </c>
      <c r="Q17" s="187"/>
    </row>
    <row r="18" spans="1:17" ht="30" customHeight="1" x14ac:dyDescent="0.25">
      <c r="A18" s="184"/>
      <c r="B18" s="148" t="s">
        <v>5</v>
      </c>
      <c r="C18" s="162" t="s">
        <v>70</v>
      </c>
      <c r="D18" s="163"/>
      <c r="E18" s="164"/>
      <c r="F18" s="170" t="s">
        <v>62</v>
      </c>
      <c r="G18" s="171"/>
      <c r="H18" s="47" t="s">
        <v>44</v>
      </c>
      <c r="I18" s="175"/>
      <c r="J18" s="148" t="s">
        <v>59</v>
      </c>
      <c r="K18" s="162" t="s">
        <v>71</v>
      </c>
      <c r="L18" s="163"/>
      <c r="M18" s="164"/>
      <c r="N18" s="170" t="s">
        <v>62</v>
      </c>
      <c r="O18" s="171"/>
      <c r="P18" s="47" t="s">
        <v>60</v>
      </c>
      <c r="Q18" s="187"/>
    </row>
    <row r="19" spans="1:17" ht="30" customHeight="1" x14ac:dyDescent="0.25">
      <c r="A19" s="184"/>
      <c r="B19" s="148" t="s">
        <v>6</v>
      </c>
      <c r="C19" s="162" t="s">
        <v>72</v>
      </c>
      <c r="D19" s="163"/>
      <c r="E19" s="164"/>
      <c r="F19" s="170" t="s">
        <v>62</v>
      </c>
      <c r="G19" s="171"/>
      <c r="H19" s="47" t="s">
        <v>43</v>
      </c>
      <c r="I19" s="175"/>
      <c r="J19" s="148" t="s">
        <v>57</v>
      </c>
      <c r="K19" s="162" t="s">
        <v>73</v>
      </c>
      <c r="L19" s="163"/>
      <c r="M19" s="164"/>
      <c r="N19" s="170" t="s">
        <v>62</v>
      </c>
      <c r="O19" s="171"/>
      <c r="P19" s="47" t="s">
        <v>58</v>
      </c>
      <c r="Q19" s="187"/>
    </row>
    <row r="20" spans="1:17" ht="30" customHeight="1" x14ac:dyDescent="0.25">
      <c r="A20" s="184"/>
      <c r="B20" s="148" t="s">
        <v>7</v>
      </c>
      <c r="C20" s="162" t="s">
        <v>74</v>
      </c>
      <c r="D20" s="163"/>
      <c r="E20" s="164"/>
      <c r="F20" s="170" t="s">
        <v>62</v>
      </c>
      <c r="G20" s="171"/>
      <c r="H20" s="47" t="s">
        <v>42</v>
      </c>
      <c r="I20" s="175"/>
      <c r="J20" s="148" t="s">
        <v>55</v>
      </c>
      <c r="K20" s="162" t="s">
        <v>75</v>
      </c>
      <c r="L20" s="163"/>
      <c r="M20" s="164"/>
      <c r="N20" s="170" t="s">
        <v>62</v>
      </c>
      <c r="O20" s="171"/>
      <c r="P20" s="47" t="s">
        <v>56</v>
      </c>
      <c r="Q20" s="187"/>
    </row>
    <row r="21" spans="1:17" ht="30" customHeight="1" thickBot="1" x14ac:dyDescent="0.3">
      <c r="A21" s="184"/>
      <c r="B21" s="154" t="s">
        <v>8</v>
      </c>
      <c r="C21" s="162" t="s">
        <v>76</v>
      </c>
      <c r="D21" s="163"/>
      <c r="E21" s="164"/>
      <c r="F21" s="165" t="s">
        <v>62</v>
      </c>
      <c r="G21" s="166"/>
      <c r="H21" s="49" t="s">
        <v>41</v>
      </c>
      <c r="I21" s="175"/>
      <c r="J21" s="154" t="s">
        <v>53</v>
      </c>
      <c r="K21" s="162" t="s">
        <v>77</v>
      </c>
      <c r="L21" s="163"/>
      <c r="M21" s="164"/>
      <c r="N21" s="165" t="s">
        <v>62</v>
      </c>
      <c r="O21" s="166"/>
      <c r="P21" s="49" t="s">
        <v>54</v>
      </c>
      <c r="Q21" s="187"/>
    </row>
    <row r="22" spans="1:17" ht="30" customHeight="1" thickBot="1" x14ac:dyDescent="0.3">
      <c r="A22" s="185"/>
      <c r="B22" s="167"/>
      <c r="C22" s="167"/>
      <c r="D22" s="167"/>
      <c r="E22" s="167"/>
      <c r="F22" s="167"/>
      <c r="G22" s="167"/>
      <c r="H22" s="167"/>
      <c r="I22" s="168"/>
      <c r="J22" s="167"/>
      <c r="K22" s="167"/>
      <c r="L22" s="167"/>
      <c r="M22" s="167"/>
      <c r="N22" s="167"/>
      <c r="O22" s="167"/>
      <c r="P22" s="167"/>
      <c r="Q22" s="188"/>
    </row>
    <row r="23" spans="1:17" ht="9.9499999999999993" customHeight="1" x14ac:dyDescent="0.25">
      <c r="B23" s="169"/>
      <c r="C23" s="169"/>
      <c r="D23" s="169"/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22"/>
    </row>
    <row r="24" spans="1:17" ht="20.100000000000001" customHeight="1" x14ac:dyDescent="0.25"/>
    <row r="25" spans="1:17" ht="20.100000000000001" customHeight="1" x14ac:dyDescent="0.25"/>
    <row r="26" spans="1:17" ht="20.100000000000001" customHeight="1" x14ac:dyDescent="0.25"/>
    <row r="27" spans="1:17" ht="20.100000000000001" customHeight="1" x14ac:dyDescent="0.25"/>
    <row r="28" spans="1:17" ht="20.100000000000001" customHeight="1" x14ac:dyDescent="0.25"/>
    <row r="29" spans="1:17" ht="20.100000000000001" customHeight="1" x14ac:dyDescent="0.25"/>
    <row r="30" spans="1:17" ht="20.100000000000001" customHeight="1" x14ac:dyDescent="0.25"/>
    <row r="31" spans="1:17" ht="20.100000000000001" customHeight="1" x14ac:dyDescent="0.25"/>
    <row r="32" spans="1:17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</sheetData>
  <mergeCells count="52">
    <mergeCell ref="N6:P6"/>
    <mergeCell ref="A1:A22"/>
    <mergeCell ref="B1:P1"/>
    <mergeCell ref="Q1:Q22"/>
    <mergeCell ref="B2:P2"/>
    <mergeCell ref="B3:P3"/>
    <mergeCell ref="B4:P4"/>
    <mergeCell ref="B5:P5"/>
    <mergeCell ref="B6:D6"/>
    <mergeCell ref="E6:E11"/>
    <mergeCell ref="F6:H6"/>
    <mergeCell ref="I6:I11"/>
    <mergeCell ref="J6:L6"/>
    <mergeCell ref="M6:M11"/>
    <mergeCell ref="B12:P12"/>
    <mergeCell ref="C13:G13"/>
    <mergeCell ref="I13:I21"/>
    <mergeCell ref="K13:O13"/>
    <mergeCell ref="C14:E14"/>
    <mergeCell ref="F14:G14"/>
    <mergeCell ref="K14:M14"/>
    <mergeCell ref="N14:O14"/>
    <mergeCell ref="C15:E15"/>
    <mergeCell ref="F15:G15"/>
    <mergeCell ref="K15:M15"/>
    <mergeCell ref="N15:O15"/>
    <mergeCell ref="C16:E16"/>
    <mergeCell ref="F16:G16"/>
    <mergeCell ref="K16:M16"/>
    <mergeCell ref="N16:O16"/>
    <mergeCell ref="C17:E17"/>
    <mergeCell ref="F17:G17"/>
    <mergeCell ref="K17:M17"/>
    <mergeCell ref="N17:O17"/>
    <mergeCell ref="C18:E18"/>
    <mergeCell ref="F18:G18"/>
    <mergeCell ref="K18:M18"/>
    <mergeCell ref="N18:O18"/>
    <mergeCell ref="B23:O23"/>
    <mergeCell ref="C19:E19"/>
    <mergeCell ref="F19:G19"/>
    <mergeCell ref="K19:M19"/>
    <mergeCell ref="N19:O19"/>
    <mergeCell ref="C20:E20"/>
    <mergeCell ref="F20:G20"/>
    <mergeCell ref="K20:M20"/>
    <mergeCell ref="N20:O20"/>
    <mergeCell ref="C21:E21"/>
    <mergeCell ref="F21:G21"/>
    <mergeCell ref="K21:M21"/>
    <mergeCell ref="N21:O21"/>
    <mergeCell ref="B22:P22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1D39A-4BDD-44C9-8F3B-13FF8EC4948A}">
  <sheetPr>
    <pageSetUpPr fitToPage="1"/>
  </sheetPr>
  <dimension ref="A1:AV59"/>
  <sheetViews>
    <sheetView showGridLines="0" topLeftCell="A22" zoomScale="85" zoomScaleNormal="85" workbookViewId="0">
      <selection activeCell="U44" sqref="U44:U45"/>
    </sheetView>
  </sheetViews>
  <sheetFormatPr defaultRowHeight="15" x14ac:dyDescent="0.25"/>
  <cols>
    <col min="1" max="1" width="4.7109375" customWidth="1"/>
    <col min="2" max="6" width="8.7109375" customWidth="1"/>
    <col min="7" max="7" width="34.7109375" customWidth="1"/>
    <col min="8" max="8" width="10.7109375" style="1" customWidth="1"/>
    <col min="9" max="9" width="6.7109375" customWidth="1"/>
    <col min="10" max="10" width="10.7109375" style="1" customWidth="1"/>
    <col min="11" max="11" width="34.7109375" customWidth="1"/>
    <col min="12" max="12" width="8.7109375" customWidth="1"/>
    <col min="13" max="15" width="4.7109375" customWidth="1"/>
    <col min="16" max="16" width="9.140625" customWidth="1"/>
    <col min="17" max="17" width="16.42578125" customWidth="1"/>
    <col min="18" max="25" width="9.140625" customWidth="1"/>
    <col min="26" max="26" width="14.42578125" customWidth="1"/>
    <col min="27" max="27" width="4.7109375" customWidth="1"/>
    <col min="28" max="31" width="9.140625" customWidth="1"/>
    <col min="32" max="32" width="1.7109375" customWidth="1"/>
    <col min="33" max="33" width="25.7109375" customWidth="1"/>
    <col min="34" max="35" width="8.7109375" customWidth="1"/>
    <col min="36" max="36" width="1.7109375" customWidth="1"/>
    <col min="37" max="37" width="25.7109375" customWidth="1"/>
    <col min="38" max="39" width="8.7109375" customWidth="1"/>
    <col min="40" max="40" width="1.7109375" customWidth="1"/>
    <col min="41" max="41" width="25.7109375" customWidth="1"/>
    <col min="42" max="43" width="8.7109375" customWidth="1"/>
    <col min="44" max="44" width="1.7109375" customWidth="1"/>
    <col min="45" max="45" width="25.7109375" customWidth="1"/>
    <col min="46" max="47" width="8.7109375" customWidth="1"/>
    <col min="48" max="48" width="1.7109375" customWidth="1"/>
  </cols>
  <sheetData>
    <row r="1" spans="1:48" ht="30" customHeight="1" thickBot="1" x14ac:dyDescent="0.3">
      <c r="A1" s="207"/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9"/>
      <c r="AF1" s="240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  <c r="AR1" s="241"/>
      <c r="AS1" s="241"/>
      <c r="AT1" s="241"/>
      <c r="AU1" s="241"/>
      <c r="AV1" s="242"/>
    </row>
    <row r="2" spans="1:48" ht="65.099999999999994" customHeight="1" thickBot="1" x14ac:dyDescent="0.3">
      <c r="A2" s="205"/>
      <c r="B2" s="272" t="s">
        <v>186</v>
      </c>
      <c r="C2" s="273"/>
      <c r="D2" s="273"/>
      <c r="E2" s="273"/>
      <c r="F2" s="273"/>
      <c r="G2" s="273"/>
      <c r="H2" s="273"/>
      <c r="I2" s="273"/>
      <c r="J2" s="273"/>
      <c r="K2" s="273"/>
      <c r="L2" s="274"/>
      <c r="M2" s="206"/>
      <c r="AF2" s="256"/>
      <c r="AG2" t="s">
        <v>18</v>
      </c>
      <c r="AV2" s="206"/>
    </row>
    <row r="3" spans="1:48" ht="39.950000000000003" customHeight="1" thickBot="1" x14ac:dyDescent="0.3">
      <c r="A3" s="205"/>
      <c r="B3" s="275" t="s">
        <v>185</v>
      </c>
      <c r="C3" s="276"/>
      <c r="D3" s="276"/>
      <c r="E3" s="276"/>
      <c r="F3" s="276"/>
      <c r="G3" s="276"/>
      <c r="H3" s="276"/>
      <c r="I3" s="276"/>
      <c r="J3" s="276"/>
      <c r="K3" s="276"/>
      <c r="L3" s="277"/>
      <c r="M3" s="206"/>
      <c r="O3" s="123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24"/>
      <c r="AF3" s="256"/>
      <c r="AG3" s="243" t="s">
        <v>27</v>
      </c>
      <c r="AH3" s="244"/>
      <c r="AI3" s="244"/>
      <c r="AJ3" s="244"/>
      <c r="AK3" s="244"/>
      <c r="AL3" s="244"/>
      <c r="AM3" s="244"/>
      <c r="AN3" s="244"/>
      <c r="AO3" s="244"/>
      <c r="AP3" s="244"/>
      <c r="AQ3" s="244"/>
      <c r="AR3" s="244"/>
      <c r="AS3" s="244"/>
      <c r="AT3" s="244"/>
      <c r="AU3" s="245"/>
      <c r="AV3" s="206"/>
    </row>
    <row r="4" spans="1:48" ht="39.950000000000003" customHeight="1" thickBot="1" x14ac:dyDescent="0.3">
      <c r="A4" s="205"/>
      <c r="B4" s="266" t="s">
        <v>183</v>
      </c>
      <c r="C4" s="267"/>
      <c r="D4" s="267"/>
      <c r="E4" s="267"/>
      <c r="F4" s="267"/>
      <c r="G4" s="267"/>
      <c r="H4" s="267"/>
      <c r="I4" s="267"/>
      <c r="J4" s="267"/>
      <c r="K4" s="267"/>
      <c r="L4" s="268"/>
      <c r="M4" s="206"/>
      <c r="O4" s="125"/>
      <c r="P4" s="216" t="s">
        <v>195</v>
      </c>
      <c r="Q4" s="217"/>
      <c r="R4" s="217"/>
      <c r="S4" s="217"/>
      <c r="T4" s="217"/>
      <c r="U4" s="217"/>
      <c r="V4" s="217"/>
      <c r="W4" s="217"/>
      <c r="X4" s="217"/>
      <c r="Y4" s="217"/>
      <c r="Z4" s="218"/>
      <c r="AA4" s="126"/>
      <c r="AF4" s="256"/>
      <c r="AG4" s="26" t="str">
        <f>GRUPOS!C14</f>
        <v>Ranking 1</v>
      </c>
      <c r="AH4" s="13" t="s">
        <v>14</v>
      </c>
      <c r="AI4" s="8" t="s">
        <v>15</v>
      </c>
      <c r="AJ4" s="255"/>
      <c r="AK4" s="27">
        <f>GRUPOS!Q9</f>
        <v>0</v>
      </c>
      <c r="AL4" s="13" t="s">
        <v>14</v>
      </c>
      <c r="AM4" s="8" t="s">
        <v>15</v>
      </c>
      <c r="AN4" s="246"/>
      <c r="AO4" s="27">
        <f>GRUPOS!Q10</f>
        <v>0</v>
      </c>
      <c r="AP4" s="13" t="s">
        <v>14</v>
      </c>
      <c r="AQ4" s="8" t="s">
        <v>15</v>
      </c>
      <c r="AR4" s="255"/>
      <c r="AS4" s="27">
        <f>GRUPOS!Q11</f>
        <v>0</v>
      </c>
      <c r="AT4" s="13" t="s">
        <v>14</v>
      </c>
      <c r="AU4" s="8" t="s">
        <v>15</v>
      </c>
      <c r="AV4" s="206"/>
    </row>
    <row r="5" spans="1:48" ht="30" customHeight="1" thickBot="1" x14ac:dyDescent="0.3">
      <c r="A5" s="205"/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206"/>
      <c r="O5" s="125"/>
      <c r="AA5" s="126"/>
      <c r="AF5" s="256"/>
      <c r="AG5" s="29">
        <v>1</v>
      </c>
      <c r="AH5" s="4">
        <f>TABELA_AVERAGE!AM8</f>
        <v>0</v>
      </c>
      <c r="AI5" s="5" t="str">
        <f>TABELA_AVERAGE!AO8</f>
        <v>TOTAL</v>
      </c>
      <c r="AJ5" s="255"/>
      <c r="AK5" s="29">
        <v>1</v>
      </c>
      <c r="AL5" s="4">
        <f>TABELA_AVERAGE!AM12</f>
        <v>0</v>
      </c>
      <c r="AM5" s="5">
        <f>TABELA_AVERAGE!AO12</f>
        <v>0</v>
      </c>
      <c r="AN5" s="246"/>
      <c r="AO5" s="29">
        <v>1</v>
      </c>
      <c r="AP5" s="4">
        <f>TABELA_AVERAGE!AO12</f>
        <v>0</v>
      </c>
      <c r="AQ5" s="5">
        <f>TABELA_AVERAGE!AM12</f>
        <v>0</v>
      </c>
      <c r="AR5" s="255"/>
      <c r="AS5" s="29">
        <v>1</v>
      </c>
      <c r="AT5" s="4" t="str">
        <f>TABELA_AVERAGE!AO8</f>
        <v>TOTAL</v>
      </c>
      <c r="AU5" s="5">
        <f>TABELA_AVERAGE!AM8</f>
        <v>0</v>
      </c>
      <c r="AV5" s="206"/>
    </row>
    <row r="6" spans="1:48" ht="30" customHeight="1" thickBot="1" x14ac:dyDescent="0.3">
      <c r="A6" s="205"/>
      <c r="B6" s="269" t="s">
        <v>30</v>
      </c>
      <c r="C6" s="270"/>
      <c r="D6" s="270"/>
      <c r="E6" s="270"/>
      <c r="F6" s="270"/>
      <c r="G6" s="270"/>
      <c r="H6" s="270"/>
      <c r="I6" s="270"/>
      <c r="J6" s="270"/>
      <c r="K6" s="270"/>
      <c r="L6" s="271"/>
      <c r="M6" s="206"/>
      <c r="O6" s="125"/>
      <c r="P6" s="219" t="s">
        <v>27</v>
      </c>
      <c r="Q6" s="220"/>
      <c r="R6" s="223" t="s">
        <v>192</v>
      </c>
      <c r="S6" s="224"/>
      <c r="T6" s="224"/>
      <c r="U6" s="224"/>
      <c r="V6" s="224"/>
      <c r="W6" s="225"/>
      <c r="X6" s="213" t="s">
        <v>193</v>
      </c>
      <c r="Y6" s="214"/>
      <c r="Z6" s="215"/>
      <c r="AA6" s="126"/>
      <c r="AF6" s="256"/>
      <c r="AG6" s="3">
        <v>2</v>
      </c>
      <c r="AH6" s="4">
        <f>TABELA_AVERAGE!AM16</f>
        <v>0</v>
      </c>
      <c r="AI6" s="5">
        <f>TABELA_AVERAGE!AO16</f>
        <v>1</v>
      </c>
      <c r="AJ6" s="255"/>
      <c r="AK6" s="3">
        <v>2</v>
      </c>
      <c r="AL6" s="4" t="e">
        <f>TABELA_AVERAGE!AM20</f>
        <v>#DIV/0!</v>
      </c>
      <c r="AM6" s="5" t="str">
        <f>TABELA_AVERAGE!AO20</f>
        <v>MEDIA</v>
      </c>
      <c r="AN6" s="246"/>
      <c r="AO6" s="3">
        <v>2</v>
      </c>
      <c r="AP6" s="4">
        <f>TABELA_AVERAGE!AO16</f>
        <v>1</v>
      </c>
      <c r="AQ6" s="5">
        <f>TABELA_AVERAGE!AM16</f>
        <v>0</v>
      </c>
      <c r="AR6" s="255"/>
      <c r="AS6" s="3">
        <v>2</v>
      </c>
      <c r="AT6" s="4" t="str">
        <f>TABELA_AVERAGE!AO20</f>
        <v>MEDIA</v>
      </c>
      <c r="AU6" s="5" t="e">
        <f>TABELA_AVERAGE!AM20</f>
        <v>#DIV/0!</v>
      </c>
      <c r="AV6" s="206"/>
    </row>
    <row r="7" spans="1:48" ht="30" customHeight="1" thickBot="1" x14ac:dyDescent="0.3">
      <c r="A7" s="205"/>
      <c r="B7" s="40" t="s">
        <v>9</v>
      </c>
      <c r="C7" s="41" t="s">
        <v>26</v>
      </c>
      <c r="D7" s="41" t="s">
        <v>10</v>
      </c>
      <c r="E7" s="41" t="s">
        <v>11</v>
      </c>
      <c r="F7" s="41" t="s">
        <v>79</v>
      </c>
      <c r="G7" s="41" t="s">
        <v>12</v>
      </c>
      <c r="H7" s="41"/>
      <c r="I7" s="41"/>
      <c r="J7" s="41"/>
      <c r="K7" s="41" t="s">
        <v>13</v>
      </c>
      <c r="L7" s="42" t="s">
        <v>79</v>
      </c>
      <c r="M7" s="206"/>
      <c r="O7" s="125"/>
      <c r="P7" s="221"/>
      <c r="Q7" s="222"/>
      <c r="R7" s="28" t="s">
        <v>189</v>
      </c>
      <c r="S7" s="12" t="s">
        <v>188</v>
      </c>
      <c r="T7" s="30" t="s">
        <v>189</v>
      </c>
      <c r="U7" s="12" t="s">
        <v>188</v>
      </c>
      <c r="V7" s="30" t="s">
        <v>189</v>
      </c>
      <c r="W7" s="135" t="s">
        <v>188</v>
      </c>
      <c r="X7" s="30" t="s">
        <v>190</v>
      </c>
      <c r="Y7" s="16" t="s">
        <v>191</v>
      </c>
      <c r="Z7" s="12" t="s">
        <v>194</v>
      </c>
      <c r="AA7" s="126"/>
      <c r="AF7" s="256"/>
      <c r="AG7" s="3">
        <v>3</v>
      </c>
      <c r="AH7" s="4">
        <f>TABELA_AVERAGE!AM25</f>
        <v>0</v>
      </c>
      <c r="AI7" s="5">
        <f>TABELA_AVERAGE!AO24</f>
        <v>0</v>
      </c>
      <c r="AJ7" s="255"/>
      <c r="AK7" s="3">
        <v>3</v>
      </c>
      <c r="AL7" s="4">
        <f>TABELA_AVERAGE!AO24</f>
        <v>0</v>
      </c>
      <c r="AM7" s="5">
        <f>TABELA_AVERAGE!AM25</f>
        <v>0</v>
      </c>
      <c r="AN7" s="246"/>
      <c r="AO7" s="3">
        <v>3</v>
      </c>
      <c r="AP7" s="4" t="e">
        <f>TABELA_AVERAGE!#REF!</f>
        <v>#REF!</v>
      </c>
      <c r="AQ7" s="5" t="e">
        <f>TABELA_AVERAGE!#REF!</f>
        <v>#REF!</v>
      </c>
      <c r="AR7" s="255"/>
      <c r="AS7" s="3">
        <v>3</v>
      </c>
      <c r="AT7" s="4" t="e">
        <f>TABELA_AVERAGE!#REF!</f>
        <v>#REF!</v>
      </c>
      <c r="AU7" s="5" t="e">
        <f>TABELA_AVERAGE!#REF!</f>
        <v>#REF!</v>
      </c>
      <c r="AV7" s="206"/>
    </row>
    <row r="8" spans="1:48" ht="30" customHeight="1" x14ac:dyDescent="0.25">
      <c r="A8" s="205"/>
      <c r="B8" s="70">
        <v>1</v>
      </c>
      <c r="C8" s="71" t="s">
        <v>24</v>
      </c>
      <c r="D8" s="71" t="s">
        <v>133</v>
      </c>
      <c r="E8" s="71"/>
      <c r="F8" s="72" t="s">
        <v>37</v>
      </c>
      <c r="G8" s="73" t="str">
        <f>GRUPOS!C8</f>
        <v>Ranking 1</v>
      </c>
      <c r="H8" s="74"/>
      <c r="I8" s="74" t="s">
        <v>17</v>
      </c>
      <c r="J8" s="74"/>
      <c r="K8" s="73" t="str">
        <f>GRUPOS!C11</f>
        <v>Ranking 16</v>
      </c>
      <c r="L8" s="75" t="s">
        <v>54</v>
      </c>
      <c r="M8" s="206"/>
      <c r="O8" s="125"/>
      <c r="P8" s="30" t="s">
        <v>37</v>
      </c>
      <c r="Q8" s="12" t="str">
        <f>GRUPOS!C14</f>
        <v>Ranking 1</v>
      </c>
      <c r="R8" s="6">
        <f>H8</f>
        <v>0</v>
      </c>
      <c r="S8" s="15">
        <f>J8</f>
        <v>0</v>
      </c>
      <c r="T8" s="6"/>
      <c r="U8" s="15"/>
      <c r="V8" s="6"/>
      <c r="W8" s="21"/>
      <c r="X8" s="6">
        <f>R8+T8+V8</f>
        <v>0</v>
      </c>
      <c r="Y8" s="14">
        <f>S8+U8+W8</f>
        <v>0</v>
      </c>
      <c r="Z8" s="15" t="e">
        <f>X8/Y8</f>
        <v>#DIV/0!</v>
      </c>
      <c r="AA8" s="126"/>
      <c r="AF8" s="256"/>
      <c r="AG8" s="3" t="s">
        <v>0</v>
      </c>
      <c r="AH8" s="4">
        <f>SUM(AH5:AH7)</f>
        <v>0</v>
      </c>
      <c r="AI8" s="5">
        <f>SUM(AI5:AI7)</f>
        <v>1</v>
      </c>
      <c r="AJ8" s="255"/>
      <c r="AK8" s="3" t="s">
        <v>0</v>
      </c>
      <c r="AL8" s="4" t="e">
        <f>SUM(AL5:AL7)</f>
        <v>#DIV/0!</v>
      </c>
      <c r="AM8" s="5">
        <f>SUM(AM5:AM7)</f>
        <v>0</v>
      </c>
      <c r="AN8" s="246"/>
      <c r="AO8" s="3" t="s">
        <v>0</v>
      </c>
      <c r="AP8" s="4" t="e">
        <f>SUM(AP5:AP7)</f>
        <v>#REF!</v>
      </c>
      <c r="AQ8" s="5" t="e">
        <f>SUM(AQ5:AQ7)</f>
        <v>#REF!</v>
      </c>
      <c r="AR8" s="255"/>
      <c r="AS8" s="3" t="s">
        <v>0</v>
      </c>
      <c r="AT8" s="4" t="e">
        <f>SUM(AT5:AT7)</f>
        <v>#REF!</v>
      </c>
      <c r="AU8" s="5" t="e">
        <f>SUM(AU5:AU7)</f>
        <v>#DIV/0!</v>
      </c>
      <c r="AV8" s="206"/>
    </row>
    <row r="9" spans="1:48" ht="30" customHeight="1" thickBot="1" x14ac:dyDescent="0.3">
      <c r="A9" s="205"/>
      <c r="B9" s="76">
        <v>2</v>
      </c>
      <c r="C9" s="77" t="s">
        <v>25</v>
      </c>
      <c r="D9" s="77" t="s">
        <v>133</v>
      </c>
      <c r="E9" s="77"/>
      <c r="F9" s="78" t="s">
        <v>38</v>
      </c>
      <c r="G9" s="79" t="str">
        <f>GRUPOS!G8</f>
        <v>Ranking 2</v>
      </c>
      <c r="H9" s="78"/>
      <c r="I9" s="78" t="s">
        <v>17</v>
      </c>
      <c r="J9" s="78"/>
      <c r="K9" s="79" t="str">
        <f>GRUPOS!G11</f>
        <v>Ranking 15</v>
      </c>
      <c r="L9" s="80" t="s">
        <v>56</v>
      </c>
      <c r="M9" s="206"/>
      <c r="O9" s="125"/>
      <c r="P9" s="6" t="s">
        <v>41</v>
      </c>
      <c r="Q9" s="15" t="str">
        <f>GRUPOS!C21</f>
        <v>Ranking 8</v>
      </c>
      <c r="R9" s="6">
        <f>H12</f>
        <v>0</v>
      </c>
      <c r="S9" s="15">
        <f>J12</f>
        <v>0</v>
      </c>
      <c r="T9" s="6"/>
      <c r="U9" s="15"/>
      <c r="V9" s="6"/>
      <c r="W9" s="21"/>
      <c r="X9" s="6">
        <f t="shared" ref="X9:X11" si="0">R9+T9+V9</f>
        <v>0</v>
      </c>
      <c r="Y9" s="14">
        <f t="shared" ref="Y9:Y11" si="1">S9+U9+W9</f>
        <v>0</v>
      </c>
      <c r="Z9" s="15" t="e">
        <f t="shared" ref="Z9:Z11" si="2">X9/Y9</f>
        <v>#DIV/0!</v>
      </c>
      <c r="AA9" s="126"/>
      <c r="AF9" s="256"/>
      <c r="AG9" s="18" t="s">
        <v>16</v>
      </c>
      <c r="AH9" s="19"/>
      <c r="AI9" s="20">
        <f>AH8/AI8</f>
        <v>0</v>
      </c>
      <c r="AJ9" s="255"/>
      <c r="AK9" s="18" t="s">
        <v>16</v>
      </c>
      <c r="AL9" s="19"/>
      <c r="AM9" s="20" t="e">
        <f>AL8/AM8</f>
        <v>#DIV/0!</v>
      </c>
      <c r="AN9" s="246"/>
      <c r="AO9" s="18" t="s">
        <v>16</v>
      </c>
      <c r="AP9" s="19"/>
      <c r="AQ9" s="20" t="e">
        <f>AP8/AQ8</f>
        <v>#REF!</v>
      </c>
      <c r="AR9" s="255"/>
      <c r="AS9" s="18" t="s">
        <v>16</v>
      </c>
      <c r="AT9" s="19"/>
      <c r="AU9" s="20" t="e">
        <f>AT8/AU8</f>
        <v>#REF!</v>
      </c>
      <c r="AV9" s="206"/>
    </row>
    <row r="10" spans="1:48" ht="30" customHeight="1" thickBot="1" x14ac:dyDescent="0.3">
      <c r="A10" s="205"/>
      <c r="B10" s="76">
        <v>3</v>
      </c>
      <c r="C10" s="77" t="s">
        <v>80</v>
      </c>
      <c r="D10" s="77" t="s">
        <v>134</v>
      </c>
      <c r="E10" s="77"/>
      <c r="F10" s="81" t="s">
        <v>39</v>
      </c>
      <c r="G10" s="79" t="str">
        <f>GRUPOS!K8</f>
        <v>Ranking 3</v>
      </c>
      <c r="H10" s="78"/>
      <c r="I10" s="78" t="s">
        <v>17</v>
      </c>
      <c r="J10" s="78"/>
      <c r="K10" s="79" t="str">
        <f>GRUPOS!K11</f>
        <v>Ranking 14</v>
      </c>
      <c r="L10" s="82" t="s">
        <v>58</v>
      </c>
      <c r="M10" s="206"/>
      <c r="O10" s="125"/>
      <c r="P10" s="6" t="s">
        <v>46</v>
      </c>
      <c r="Q10" s="15" t="str">
        <f>GRUPOS!K14</f>
        <v>Ranking 9</v>
      </c>
      <c r="R10" s="6">
        <f>J12</f>
        <v>0</v>
      </c>
      <c r="S10" s="15">
        <f>H12</f>
        <v>0</v>
      </c>
      <c r="T10" s="6"/>
      <c r="U10" s="15"/>
      <c r="V10" s="6"/>
      <c r="W10" s="21"/>
      <c r="X10" s="6">
        <f t="shared" si="0"/>
        <v>0</v>
      </c>
      <c r="Y10" s="14">
        <f t="shared" si="1"/>
        <v>0</v>
      </c>
      <c r="Z10" s="15" t="e">
        <f t="shared" si="2"/>
        <v>#DIV/0!</v>
      </c>
      <c r="AA10" s="126"/>
      <c r="AF10" s="202"/>
      <c r="AG10" s="203"/>
      <c r="AH10" s="203"/>
      <c r="AI10" s="203"/>
      <c r="AJ10" s="203"/>
      <c r="AK10" s="203"/>
      <c r="AL10" s="203"/>
      <c r="AM10" s="203"/>
      <c r="AN10" s="203"/>
      <c r="AO10" s="203"/>
      <c r="AP10" s="203"/>
      <c r="AQ10" s="203"/>
      <c r="AR10" s="203"/>
      <c r="AS10" s="203"/>
      <c r="AT10" s="203"/>
      <c r="AU10" s="203"/>
      <c r="AV10" s="204"/>
    </row>
    <row r="11" spans="1:48" ht="30" customHeight="1" thickBot="1" x14ac:dyDescent="0.3">
      <c r="A11" s="205"/>
      <c r="B11" s="83">
        <v>4</v>
      </c>
      <c r="C11" s="84" t="s">
        <v>81</v>
      </c>
      <c r="D11" s="84" t="s">
        <v>134</v>
      </c>
      <c r="E11" s="84"/>
      <c r="F11" s="85" t="s">
        <v>40</v>
      </c>
      <c r="G11" s="86" t="str">
        <f>GRUPOS!O8</f>
        <v>Ranking 4</v>
      </c>
      <c r="H11" s="85"/>
      <c r="I11" s="85" t="s">
        <v>17</v>
      </c>
      <c r="J11" s="85"/>
      <c r="K11" s="86" t="str">
        <f>GRUPOS!O11</f>
        <v>Ranking 13</v>
      </c>
      <c r="L11" s="87" t="s">
        <v>60</v>
      </c>
      <c r="M11" s="206"/>
      <c r="O11" s="125"/>
      <c r="P11" s="7" t="s">
        <v>54</v>
      </c>
      <c r="Q11" s="134" t="str">
        <f>GRUPOS!K21</f>
        <v>Ranking 16</v>
      </c>
      <c r="R11" s="7">
        <f>J8</f>
        <v>0</v>
      </c>
      <c r="S11" s="134">
        <f>H8</f>
        <v>0</v>
      </c>
      <c r="T11" s="7"/>
      <c r="U11" s="134"/>
      <c r="V11" s="7"/>
      <c r="W11" s="136"/>
      <c r="X11" s="7">
        <f t="shared" si="0"/>
        <v>0</v>
      </c>
      <c r="Y11" s="11">
        <f t="shared" si="1"/>
        <v>0</v>
      </c>
      <c r="Z11" s="134" t="e">
        <f t="shared" si="2"/>
        <v>#DIV/0!</v>
      </c>
      <c r="AA11" s="126"/>
      <c r="AF11" s="9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2"/>
    </row>
    <row r="12" spans="1:48" ht="30" customHeight="1" thickBot="1" x14ac:dyDescent="0.3">
      <c r="A12" s="205"/>
      <c r="B12" s="70">
        <v>5</v>
      </c>
      <c r="C12" s="71" t="s">
        <v>24</v>
      </c>
      <c r="D12" s="71" t="s">
        <v>135</v>
      </c>
      <c r="E12" s="71"/>
      <c r="F12" s="72" t="s">
        <v>41</v>
      </c>
      <c r="G12" s="73" t="str">
        <f>GRUPOS!C9</f>
        <v>Ranking 8</v>
      </c>
      <c r="H12" s="74"/>
      <c r="I12" s="74" t="s">
        <v>17</v>
      </c>
      <c r="J12" s="74"/>
      <c r="K12" s="73" t="str">
        <f>GRUPOS!C10</f>
        <v>Ranking 9</v>
      </c>
      <c r="L12" s="75" t="s">
        <v>46</v>
      </c>
      <c r="M12" s="206"/>
      <c r="O12" s="125"/>
      <c r="AA12" s="126"/>
      <c r="AF12" s="240"/>
      <c r="AG12" s="241"/>
      <c r="AH12" s="241"/>
      <c r="AI12" s="241"/>
      <c r="AJ12" s="241"/>
      <c r="AK12" s="241"/>
      <c r="AL12" s="241"/>
      <c r="AM12" s="241"/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48" ht="30" customHeight="1" thickBot="1" x14ac:dyDescent="0.3">
      <c r="A13" s="205"/>
      <c r="B13" s="76">
        <v>6</v>
      </c>
      <c r="C13" s="77" t="s">
        <v>25</v>
      </c>
      <c r="D13" s="77" t="s">
        <v>135</v>
      </c>
      <c r="E13" s="77"/>
      <c r="F13" s="78" t="s">
        <v>42</v>
      </c>
      <c r="G13" s="79" t="str">
        <f>GRUPOS!G9</f>
        <v>Ranking 7</v>
      </c>
      <c r="H13" s="78"/>
      <c r="I13" s="78" t="s">
        <v>17</v>
      </c>
      <c r="J13" s="78"/>
      <c r="K13" s="79" t="str">
        <f>GRUPOS!G10</f>
        <v>Ranking 10</v>
      </c>
      <c r="L13" s="80" t="s">
        <v>48</v>
      </c>
      <c r="M13" s="206"/>
      <c r="O13" s="125"/>
      <c r="P13" s="219" t="s">
        <v>28</v>
      </c>
      <c r="Q13" s="220"/>
      <c r="R13" s="223" t="s">
        <v>192</v>
      </c>
      <c r="S13" s="224"/>
      <c r="T13" s="224"/>
      <c r="U13" s="224"/>
      <c r="V13" s="224"/>
      <c r="W13" s="225"/>
      <c r="X13" s="213" t="s">
        <v>193</v>
      </c>
      <c r="Y13" s="214"/>
      <c r="Z13" s="215"/>
      <c r="AA13" s="126"/>
      <c r="AF13" s="256"/>
      <c r="AG13" s="257" t="s">
        <v>28</v>
      </c>
      <c r="AH13" s="258"/>
      <c r="AI13" s="258"/>
      <c r="AJ13" s="258"/>
      <c r="AK13" s="258"/>
      <c r="AL13" s="258"/>
      <c r="AM13" s="258"/>
      <c r="AN13" s="258"/>
      <c r="AO13" s="258"/>
      <c r="AP13" s="258"/>
      <c r="AQ13" s="258"/>
      <c r="AR13" s="258"/>
      <c r="AS13" s="258"/>
      <c r="AT13" s="258"/>
      <c r="AU13" s="259"/>
      <c r="AV13" s="206"/>
    </row>
    <row r="14" spans="1:48" ht="30" customHeight="1" thickBot="1" x14ac:dyDescent="0.3">
      <c r="A14" s="205"/>
      <c r="B14" s="76">
        <v>7</v>
      </c>
      <c r="C14" s="77" t="s">
        <v>80</v>
      </c>
      <c r="D14" s="77" t="s">
        <v>136</v>
      </c>
      <c r="E14" s="77"/>
      <c r="F14" s="78" t="s">
        <v>43</v>
      </c>
      <c r="G14" s="79" t="str">
        <f>GRUPOS!K9</f>
        <v>Ranking 6</v>
      </c>
      <c r="H14" s="88"/>
      <c r="I14" s="78" t="s">
        <v>17</v>
      </c>
      <c r="J14" s="78"/>
      <c r="K14" s="79" t="str">
        <f>GRUPOS!K10</f>
        <v>Ranking 11</v>
      </c>
      <c r="L14" s="80" t="s">
        <v>50</v>
      </c>
      <c r="M14" s="206"/>
      <c r="O14" s="125"/>
      <c r="P14" s="221"/>
      <c r="Q14" s="222"/>
      <c r="R14" s="28" t="s">
        <v>189</v>
      </c>
      <c r="S14" s="12" t="s">
        <v>188</v>
      </c>
      <c r="T14" s="30" t="s">
        <v>189</v>
      </c>
      <c r="U14" s="12" t="s">
        <v>188</v>
      </c>
      <c r="V14" s="30" t="s">
        <v>189</v>
      </c>
      <c r="W14" s="135" t="s">
        <v>188</v>
      </c>
      <c r="X14" s="30" t="s">
        <v>190</v>
      </c>
      <c r="Y14" s="16" t="s">
        <v>191</v>
      </c>
      <c r="Z14" s="12" t="s">
        <v>194</v>
      </c>
      <c r="AA14" s="126"/>
      <c r="AF14" s="256"/>
      <c r="AG14" s="261"/>
      <c r="AH14" s="261"/>
      <c r="AI14" s="261"/>
      <c r="AJ14" s="261"/>
      <c r="AK14" s="261"/>
      <c r="AL14" s="261"/>
      <c r="AM14" s="261"/>
      <c r="AN14" s="261"/>
      <c r="AO14" s="261"/>
      <c r="AP14" s="261"/>
      <c r="AQ14" s="261"/>
      <c r="AR14" s="261"/>
      <c r="AS14" s="261"/>
      <c r="AT14" s="261"/>
      <c r="AU14" s="261"/>
      <c r="AV14" s="206"/>
    </row>
    <row r="15" spans="1:48" ht="30" customHeight="1" thickBot="1" x14ac:dyDescent="0.3">
      <c r="A15" s="205"/>
      <c r="B15" s="83">
        <v>8</v>
      </c>
      <c r="C15" s="84" t="s">
        <v>81</v>
      </c>
      <c r="D15" s="84" t="s">
        <v>136</v>
      </c>
      <c r="E15" s="84"/>
      <c r="F15" s="85" t="s">
        <v>44</v>
      </c>
      <c r="G15" s="86" t="str">
        <f>GRUPOS!O9</f>
        <v>Ranking 5</v>
      </c>
      <c r="H15" s="85"/>
      <c r="I15" s="85" t="s">
        <v>17</v>
      </c>
      <c r="J15" s="85"/>
      <c r="K15" s="86" t="str">
        <f>GRUPOS!O10</f>
        <v>Ranking 12</v>
      </c>
      <c r="L15" s="87" t="s">
        <v>52</v>
      </c>
      <c r="M15" s="206"/>
      <c r="O15" s="125"/>
      <c r="P15" s="30" t="s">
        <v>38</v>
      </c>
      <c r="Q15" s="12" t="str">
        <f>GRUPOS!C15</f>
        <v>Ranking 2</v>
      </c>
      <c r="R15" s="6">
        <f>H9</f>
        <v>0</v>
      </c>
      <c r="S15" s="15">
        <f>J9</f>
        <v>0</v>
      </c>
      <c r="T15" s="6"/>
      <c r="U15" s="15"/>
      <c r="V15" s="6"/>
      <c r="W15" s="21"/>
      <c r="X15" s="6">
        <f>R15+T15+V15</f>
        <v>0</v>
      </c>
      <c r="Y15" s="14">
        <f>S15+U15+W15</f>
        <v>0</v>
      </c>
      <c r="Z15" s="15" t="e">
        <f>X15/Y15</f>
        <v>#DIV/0!</v>
      </c>
      <c r="AA15" s="126"/>
      <c r="AF15" s="256"/>
      <c r="AG15" s="27">
        <f>GRUPOS!U8</f>
        <v>0</v>
      </c>
      <c r="AH15" s="13" t="s">
        <v>14</v>
      </c>
      <c r="AI15" s="8" t="s">
        <v>15</v>
      </c>
      <c r="AJ15" s="255"/>
      <c r="AK15" s="27">
        <f>GRUPOS!U9</f>
        <v>0</v>
      </c>
      <c r="AL15" s="13" t="s">
        <v>14</v>
      </c>
      <c r="AM15" s="8" t="s">
        <v>15</v>
      </c>
      <c r="AN15" s="246"/>
      <c r="AO15" s="27">
        <f>GRUPOS!U10</f>
        <v>0</v>
      </c>
      <c r="AP15" s="13" t="s">
        <v>14</v>
      </c>
      <c r="AQ15" s="8" t="s">
        <v>15</v>
      </c>
      <c r="AR15" s="255"/>
      <c r="AS15" s="27">
        <f>GRUPOS!U11</f>
        <v>0</v>
      </c>
      <c r="AT15" s="13" t="s">
        <v>14</v>
      </c>
      <c r="AU15" s="8" t="s">
        <v>15</v>
      </c>
      <c r="AV15" s="206"/>
    </row>
    <row r="16" spans="1:48" ht="30" customHeight="1" x14ac:dyDescent="0.25">
      <c r="A16" s="205"/>
      <c r="B16" s="89">
        <v>9</v>
      </c>
      <c r="C16" s="90" t="s">
        <v>24</v>
      </c>
      <c r="D16" s="90" t="s">
        <v>137</v>
      </c>
      <c r="E16" s="90"/>
      <c r="F16" s="91" t="s">
        <v>100</v>
      </c>
      <c r="G16" s="92" t="s">
        <v>101</v>
      </c>
      <c r="H16" s="91"/>
      <c r="I16" s="91" t="s">
        <v>17</v>
      </c>
      <c r="J16" s="91"/>
      <c r="K16" s="92" t="s">
        <v>102</v>
      </c>
      <c r="L16" s="93" t="s">
        <v>112</v>
      </c>
      <c r="M16" s="206"/>
      <c r="O16" s="125"/>
      <c r="P16" s="6" t="s">
        <v>42</v>
      </c>
      <c r="Q16" s="15" t="str">
        <f>GRUPOS!C20</f>
        <v>Ranking 7</v>
      </c>
      <c r="R16" s="6">
        <f>H13</f>
        <v>0</v>
      </c>
      <c r="S16" s="15">
        <f>J13</f>
        <v>0</v>
      </c>
      <c r="T16" s="6"/>
      <c r="U16" s="15"/>
      <c r="V16" s="6"/>
      <c r="W16" s="21"/>
      <c r="X16" s="6">
        <f t="shared" ref="X16:X18" si="3">R16+T16+V16</f>
        <v>0</v>
      </c>
      <c r="Y16" s="14">
        <f t="shared" ref="Y16:Y18" si="4">S16+U16+W16</f>
        <v>0</v>
      </c>
      <c r="Z16" s="15" t="e">
        <f t="shared" ref="Z16:Z18" si="5">X16/Y16</f>
        <v>#DIV/0!</v>
      </c>
      <c r="AA16" s="126"/>
      <c r="AF16" s="256"/>
      <c r="AG16" s="29">
        <v>1</v>
      </c>
      <c r="AH16" s="4" t="e">
        <f>TABELA_AVERAGE!AM9</f>
        <v>#DIV/0!</v>
      </c>
      <c r="AI16" s="5" t="str">
        <f>TABELA_AVERAGE!AO9</f>
        <v>MEDIA</v>
      </c>
      <c r="AJ16" s="255"/>
      <c r="AK16" s="29">
        <v>1</v>
      </c>
      <c r="AL16" s="4">
        <f>TABELA_AVERAGE!AM13</f>
        <v>0</v>
      </c>
      <c r="AM16" s="5">
        <f>TABELA_AVERAGE!AO13</f>
        <v>0</v>
      </c>
      <c r="AN16" s="246"/>
      <c r="AO16" s="29">
        <v>1</v>
      </c>
      <c r="AP16" s="4">
        <f>TABELA_AVERAGE!AO13</f>
        <v>0</v>
      </c>
      <c r="AQ16" s="5">
        <f>TABELA_AVERAGE!AM13</f>
        <v>0</v>
      </c>
      <c r="AR16" s="255"/>
      <c r="AS16" s="29">
        <v>1</v>
      </c>
      <c r="AT16" s="4" t="str">
        <f>TABELA_AVERAGE!AO9</f>
        <v>MEDIA</v>
      </c>
      <c r="AU16" s="5" t="e">
        <f>TABELA_AVERAGE!AM9</f>
        <v>#DIV/0!</v>
      </c>
      <c r="AV16" s="206"/>
    </row>
    <row r="17" spans="1:48" ht="30" customHeight="1" x14ac:dyDescent="0.25">
      <c r="A17" s="205"/>
      <c r="B17" s="94">
        <v>10</v>
      </c>
      <c r="C17" s="95" t="s">
        <v>25</v>
      </c>
      <c r="D17" s="95" t="s">
        <v>137</v>
      </c>
      <c r="E17" s="95"/>
      <c r="F17" s="96" t="s">
        <v>103</v>
      </c>
      <c r="G17" s="97" t="s">
        <v>104</v>
      </c>
      <c r="H17" s="96"/>
      <c r="I17" s="96" t="s">
        <v>17</v>
      </c>
      <c r="J17" s="96"/>
      <c r="K17" s="97" t="s">
        <v>105</v>
      </c>
      <c r="L17" s="98" t="s">
        <v>113</v>
      </c>
      <c r="M17" s="206"/>
      <c r="O17" s="125"/>
      <c r="P17" s="6" t="s">
        <v>48</v>
      </c>
      <c r="Q17" s="15" t="str">
        <f>GRUPOS!K15</f>
        <v>Ranking 10</v>
      </c>
      <c r="R17" s="6">
        <f>J13</f>
        <v>0</v>
      </c>
      <c r="S17" s="15">
        <f>H13</f>
        <v>0</v>
      </c>
      <c r="T17" s="6"/>
      <c r="U17" s="15"/>
      <c r="V17" s="6"/>
      <c r="W17" s="21"/>
      <c r="X17" s="6">
        <f t="shared" si="3"/>
        <v>0</v>
      </c>
      <c r="Y17" s="14">
        <f t="shared" si="4"/>
        <v>0</v>
      </c>
      <c r="Z17" s="15" t="e">
        <f t="shared" si="5"/>
        <v>#DIV/0!</v>
      </c>
      <c r="AA17" s="126"/>
      <c r="AF17" s="256"/>
      <c r="AG17" s="3">
        <v>2</v>
      </c>
      <c r="AH17" s="4">
        <f>TABELA_AVERAGE!AM17</f>
        <v>0</v>
      </c>
      <c r="AI17" s="5">
        <f>TABELA_AVERAGE!AO17</f>
        <v>2</v>
      </c>
      <c r="AJ17" s="255"/>
      <c r="AK17" s="3">
        <v>2</v>
      </c>
      <c r="AL17" s="4">
        <f>TABELA_AVERAGE!AM21</f>
        <v>0</v>
      </c>
      <c r="AM17" s="5">
        <f>TABELA_AVERAGE!AO21</f>
        <v>0</v>
      </c>
      <c r="AN17" s="246"/>
      <c r="AO17" s="3">
        <v>2</v>
      </c>
      <c r="AP17" s="4">
        <f>TABELA_AVERAGE!AO17</f>
        <v>2</v>
      </c>
      <c r="AQ17" s="5">
        <f>TABELA_AVERAGE!AM17</f>
        <v>0</v>
      </c>
      <c r="AR17" s="255"/>
      <c r="AS17" s="3">
        <v>2</v>
      </c>
      <c r="AT17" s="4">
        <f>TABELA_AVERAGE!AO21</f>
        <v>0</v>
      </c>
      <c r="AU17" s="5">
        <f>TABELA_AVERAGE!AM21</f>
        <v>0</v>
      </c>
      <c r="AV17" s="206"/>
    </row>
    <row r="18" spans="1:48" ht="30" customHeight="1" thickBot="1" x14ac:dyDescent="0.3">
      <c r="A18" s="205"/>
      <c r="B18" s="94">
        <v>11</v>
      </c>
      <c r="C18" s="95" t="s">
        <v>80</v>
      </c>
      <c r="D18" s="95" t="s">
        <v>138</v>
      </c>
      <c r="E18" s="95"/>
      <c r="F18" s="96" t="s">
        <v>110</v>
      </c>
      <c r="G18" s="97" t="s">
        <v>106</v>
      </c>
      <c r="H18" s="96"/>
      <c r="I18" s="96" t="s">
        <v>17</v>
      </c>
      <c r="J18" s="96"/>
      <c r="K18" s="97" t="s">
        <v>107</v>
      </c>
      <c r="L18" s="98" t="s">
        <v>115</v>
      </c>
      <c r="M18" s="206"/>
      <c r="O18" s="125"/>
      <c r="P18" s="7" t="s">
        <v>56</v>
      </c>
      <c r="Q18" s="134" t="str">
        <f>GRUPOS!K20</f>
        <v>Ranking 15</v>
      </c>
      <c r="R18" s="7">
        <f>J9</f>
        <v>0</v>
      </c>
      <c r="S18" s="134">
        <f>H9</f>
        <v>0</v>
      </c>
      <c r="T18" s="7"/>
      <c r="U18" s="134"/>
      <c r="V18" s="7"/>
      <c r="W18" s="136"/>
      <c r="X18" s="7">
        <f t="shared" si="3"/>
        <v>0</v>
      </c>
      <c r="Y18" s="11">
        <f t="shared" si="4"/>
        <v>0</v>
      </c>
      <c r="Z18" s="134" t="e">
        <f t="shared" si="5"/>
        <v>#DIV/0!</v>
      </c>
      <c r="AA18" s="126"/>
      <c r="AF18" s="256"/>
      <c r="AG18" s="3">
        <v>3</v>
      </c>
      <c r="AH18" s="4">
        <f>TABELA_AVERAGE!AM25</f>
        <v>0</v>
      </c>
      <c r="AI18" s="5">
        <f>TABELA_AVERAGE!AO25</f>
        <v>0</v>
      </c>
      <c r="AJ18" s="255"/>
      <c r="AK18" s="3">
        <v>3</v>
      </c>
      <c r="AL18" s="4">
        <f>TABELA_AVERAGE!AO25</f>
        <v>0</v>
      </c>
      <c r="AM18" s="5">
        <f>TABELA_AVERAGE!AM25</f>
        <v>0</v>
      </c>
      <c r="AN18" s="246"/>
      <c r="AO18" s="3">
        <v>3</v>
      </c>
      <c r="AP18" s="4" t="e">
        <f>TABELA_AVERAGE!#REF!</f>
        <v>#REF!</v>
      </c>
      <c r="AQ18" s="5" t="e">
        <f>TABELA_AVERAGE!#REF!</f>
        <v>#REF!</v>
      </c>
      <c r="AR18" s="255"/>
      <c r="AS18" s="3">
        <v>3</v>
      </c>
      <c r="AT18" s="4" t="e">
        <f>TABELA_AVERAGE!#REF!</f>
        <v>#REF!</v>
      </c>
      <c r="AU18" s="5" t="e">
        <f>TABELA_AVERAGE!#REF!</f>
        <v>#REF!</v>
      </c>
      <c r="AV18" s="206"/>
    </row>
    <row r="19" spans="1:48" ht="30" customHeight="1" thickBot="1" x14ac:dyDescent="0.3">
      <c r="A19" s="205"/>
      <c r="B19" s="99">
        <v>12</v>
      </c>
      <c r="C19" s="100" t="s">
        <v>81</v>
      </c>
      <c r="D19" s="100" t="s">
        <v>138</v>
      </c>
      <c r="E19" s="100"/>
      <c r="F19" s="101" t="s">
        <v>111</v>
      </c>
      <c r="G19" s="102" t="s">
        <v>108</v>
      </c>
      <c r="H19" s="101"/>
      <c r="I19" s="101" t="s">
        <v>17</v>
      </c>
      <c r="J19" s="101"/>
      <c r="K19" s="102" t="s">
        <v>109</v>
      </c>
      <c r="L19" s="103" t="s">
        <v>116</v>
      </c>
      <c r="M19" s="206"/>
      <c r="O19" s="125"/>
      <c r="AA19" s="126"/>
      <c r="AF19" s="256"/>
      <c r="AG19" s="3" t="s">
        <v>0</v>
      </c>
      <c r="AH19" s="4" t="e">
        <f>SUM(AH16:AH18)</f>
        <v>#DIV/0!</v>
      </c>
      <c r="AI19" s="5">
        <f>SUM(AI16:AI18)</f>
        <v>2</v>
      </c>
      <c r="AJ19" s="255"/>
      <c r="AK19" s="3" t="s">
        <v>0</v>
      </c>
      <c r="AL19" s="4">
        <f>SUM(AL16:AL18)</f>
        <v>0</v>
      </c>
      <c r="AM19" s="5">
        <f>SUM(AM16:AM18)</f>
        <v>0</v>
      </c>
      <c r="AN19" s="246"/>
      <c r="AO19" s="3" t="s">
        <v>0</v>
      </c>
      <c r="AP19" s="4" t="e">
        <f>SUM(AP16:AP18)</f>
        <v>#REF!</v>
      </c>
      <c r="AQ19" s="5" t="e">
        <f>SUM(AQ16:AQ18)</f>
        <v>#REF!</v>
      </c>
      <c r="AR19" s="255"/>
      <c r="AS19" s="3" t="s">
        <v>0</v>
      </c>
      <c r="AT19" s="4" t="e">
        <f>SUM(AT16:AT18)</f>
        <v>#REF!</v>
      </c>
      <c r="AU19" s="5" t="e">
        <f>SUM(AU16:AU18)</f>
        <v>#DIV/0!</v>
      </c>
      <c r="AV19" s="206"/>
    </row>
    <row r="20" spans="1:48" ht="30" customHeight="1" thickBot="1" x14ac:dyDescent="0.3">
      <c r="A20" s="205"/>
      <c r="B20" s="104">
        <v>13</v>
      </c>
      <c r="C20" s="105" t="s">
        <v>24</v>
      </c>
      <c r="D20" s="105" t="s">
        <v>139</v>
      </c>
      <c r="E20" s="105"/>
      <c r="F20" s="106" t="s">
        <v>117</v>
      </c>
      <c r="G20" s="107" t="s">
        <v>125</v>
      </c>
      <c r="H20" s="106"/>
      <c r="I20" s="106" t="s">
        <v>17</v>
      </c>
      <c r="J20" s="106"/>
      <c r="K20" s="107" t="s">
        <v>129</v>
      </c>
      <c r="L20" s="108" t="s">
        <v>118</v>
      </c>
      <c r="M20" s="206"/>
      <c r="O20" s="125"/>
      <c r="P20" s="219" t="s">
        <v>33</v>
      </c>
      <c r="Q20" s="220"/>
      <c r="R20" s="223" t="s">
        <v>192</v>
      </c>
      <c r="S20" s="224"/>
      <c r="T20" s="224"/>
      <c r="U20" s="224"/>
      <c r="V20" s="224"/>
      <c r="W20" s="225"/>
      <c r="X20" s="213" t="s">
        <v>193</v>
      </c>
      <c r="Y20" s="214"/>
      <c r="Z20" s="215"/>
      <c r="AA20" s="126"/>
      <c r="AF20" s="256"/>
      <c r="AG20" s="18" t="s">
        <v>16</v>
      </c>
      <c r="AH20" s="19"/>
      <c r="AI20" s="20" t="e">
        <f>AH19/AI19</f>
        <v>#DIV/0!</v>
      </c>
      <c r="AJ20" s="255"/>
      <c r="AK20" s="18" t="s">
        <v>16</v>
      </c>
      <c r="AL20" s="19"/>
      <c r="AM20" s="20" t="e">
        <f>AL19/AM19</f>
        <v>#DIV/0!</v>
      </c>
      <c r="AN20" s="246"/>
      <c r="AO20" s="18" t="s">
        <v>16</v>
      </c>
      <c r="AP20" s="19"/>
      <c r="AQ20" s="20" t="e">
        <f>AP19/AQ19</f>
        <v>#REF!</v>
      </c>
      <c r="AR20" s="255"/>
      <c r="AS20" s="18" t="s">
        <v>16</v>
      </c>
      <c r="AT20" s="19"/>
      <c r="AU20" s="20" t="e">
        <f>AT19/AU19</f>
        <v>#REF!</v>
      </c>
      <c r="AV20" s="206"/>
    </row>
    <row r="21" spans="1:48" ht="30" customHeight="1" thickBot="1" x14ac:dyDescent="0.3">
      <c r="A21" s="205"/>
      <c r="B21" s="109">
        <v>14</v>
      </c>
      <c r="C21" s="110" t="s">
        <v>25</v>
      </c>
      <c r="D21" s="110" t="s">
        <v>139</v>
      </c>
      <c r="E21" s="110"/>
      <c r="F21" s="111" t="s">
        <v>119</v>
      </c>
      <c r="G21" s="112" t="s">
        <v>126</v>
      </c>
      <c r="H21" s="111"/>
      <c r="I21" s="111" t="s">
        <v>17</v>
      </c>
      <c r="J21" s="111"/>
      <c r="K21" s="112" t="s">
        <v>130</v>
      </c>
      <c r="L21" s="113" t="s">
        <v>120</v>
      </c>
      <c r="M21" s="206"/>
      <c r="O21" s="125"/>
      <c r="P21" s="221"/>
      <c r="Q21" s="222"/>
      <c r="R21" s="28" t="s">
        <v>189</v>
      </c>
      <c r="S21" s="12" t="s">
        <v>188</v>
      </c>
      <c r="T21" s="30" t="s">
        <v>189</v>
      </c>
      <c r="U21" s="12" t="s">
        <v>188</v>
      </c>
      <c r="V21" s="30" t="s">
        <v>189</v>
      </c>
      <c r="W21" s="135" t="s">
        <v>188</v>
      </c>
      <c r="X21" s="30" t="s">
        <v>190</v>
      </c>
      <c r="Y21" s="16" t="s">
        <v>191</v>
      </c>
      <c r="Z21" s="12" t="s">
        <v>194</v>
      </c>
      <c r="AA21" s="126"/>
      <c r="AF21" s="202"/>
      <c r="AG21" s="203"/>
      <c r="AH21" s="203"/>
      <c r="AI21" s="203"/>
      <c r="AJ21" s="203"/>
      <c r="AK21" s="203"/>
      <c r="AL21" s="203"/>
      <c r="AM21" s="203"/>
      <c r="AN21" s="203"/>
      <c r="AO21" s="203"/>
      <c r="AP21" s="203"/>
      <c r="AQ21" s="203"/>
      <c r="AR21" s="203"/>
      <c r="AS21" s="203"/>
      <c r="AT21" s="203"/>
      <c r="AU21" s="203"/>
      <c r="AV21" s="204"/>
    </row>
    <row r="22" spans="1:48" ht="30" customHeight="1" thickBot="1" x14ac:dyDescent="0.3">
      <c r="A22" s="205"/>
      <c r="B22" s="109">
        <v>15</v>
      </c>
      <c r="C22" s="110" t="s">
        <v>80</v>
      </c>
      <c r="D22" s="110" t="s">
        <v>140</v>
      </c>
      <c r="E22" s="110"/>
      <c r="F22" s="111" t="s">
        <v>121</v>
      </c>
      <c r="G22" s="112" t="s">
        <v>127</v>
      </c>
      <c r="H22" s="111"/>
      <c r="I22" s="111" t="s">
        <v>17</v>
      </c>
      <c r="J22" s="111"/>
      <c r="K22" s="112" t="s">
        <v>131</v>
      </c>
      <c r="L22" s="113" t="s">
        <v>123</v>
      </c>
      <c r="M22" s="206"/>
      <c r="O22" s="125"/>
      <c r="P22" s="30" t="s">
        <v>39</v>
      </c>
      <c r="Q22" s="12" t="str">
        <f>GRUPOS!C16</f>
        <v>Ranking 3</v>
      </c>
      <c r="R22" s="6">
        <f>H10</f>
        <v>0</v>
      </c>
      <c r="S22" s="15">
        <f>J10</f>
        <v>0</v>
      </c>
      <c r="T22" s="6"/>
      <c r="U22" s="15"/>
      <c r="V22" s="6"/>
      <c r="W22" s="21"/>
      <c r="X22" s="6">
        <f>R22+T22+V22</f>
        <v>0</v>
      </c>
      <c r="Y22" s="14">
        <f>S22+U22+W22</f>
        <v>0</v>
      </c>
      <c r="Z22" s="15" t="e">
        <f>X22/Y22</f>
        <v>#DIV/0!</v>
      </c>
      <c r="AA22" s="126"/>
      <c r="AF22" s="9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2"/>
    </row>
    <row r="23" spans="1:48" ht="30" customHeight="1" thickBot="1" x14ac:dyDescent="0.3">
      <c r="A23" s="205"/>
      <c r="B23" s="114">
        <v>16</v>
      </c>
      <c r="C23" s="115" t="s">
        <v>81</v>
      </c>
      <c r="D23" s="115" t="s">
        <v>140</v>
      </c>
      <c r="E23" s="115"/>
      <c r="F23" s="116" t="s">
        <v>122</v>
      </c>
      <c r="G23" s="117" t="s">
        <v>128</v>
      </c>
      <c r="H23" s="116"/>
      <c r="I23" s="116" t="s">
        <v>17</v>
      </c>
      <c r="J23" s="116"/>
      <c r="K23" s="117" t="s">
        <v>132</v>
      </c>
      <c r="L23" s="118" t="s">
        <v>124</v>
      </c>
      <c r="M23" s="206"/>
      <c r="O23" s="125"/>
      <c r="P23" s="6" t="s">
        <v>43</v>
      </c>
      <c r="Q23" s="15" t="str">
        <f>GRUPOS!C19</f>
        <v>Ranking 6</v>
      </c>
      <c r="R23" s="6">
        <f>H14</f>
        <v>0</v>
      </c>
      <c r="S23" s="15">
        <f>J14</f>
        <v>0</v>
      </c>
      <c r="T23" s="6"/>
      <c r="U23" s="15"/>
      <c r="V23" s="6"/>
      <c r="W23" s="21"/>
      <c r="X23" s="6">
        <f t="shared" ref="X23:X25" si="6">R23+T23+V23</f>
        <v>0</v>
      </c>
      <c r="Y23" s="14">
        <f t="shared" ref="Y23:Y25" si="7">S23+U23+W23</f>
        <v>0</v>
      </c>
      <c r="Z23" s="15" t="e">
        <f t="shared" ref="Z23:Z25" si="8">X23/Y23</f>
        <v>#DIV/0!</v>
      </c>
      <c r="AA23" s="126"/>
      <c r="AF23" s="240"/>
      <c r="AG23" s="241"/>
      <c r="AH23" s="241"/>
      <c r="AI23" s="241"/>
      <c r="AJ23" s="241"/>
      <c r="AK23" s="241"/>
      <c r="AL23" s="241"/>
      <c r="AM23" s="241"/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30" customHeight="1" thickBot="1" x14ac:dyDescent="0.3">
      <c r="A24" s="205"/>
      <c r="B24" s="59">
        <v>17</v>
      </c>
      <c r="C24" s="60" t="s">
        <v>24</v>
      </c>
      <c r="D24" s="60" t="s">
        <v>141</v>
      </c>
      <c r="E24" s="60"/>
      <c r="F24" s="61" t="s">
        <v>147</v>
      </c>
      <c r="G24" s="119" t="s">
        <v>143</v>
      </c>
      <c r="H24" s="61"/>
      <c r="I24" s="61" t="s">
        <v>17</v>
      </c>
      <c r="J24" s="61"/>
      <c r="K24" s="119" t="s">
        <v>144</v>
      </c>
      <c r="L24" s="120" t="s">
        <v>154</v>
      </c>
      <c r="M24" s="206"/>
      <c r="O24" s="125"/>
      <c r="P24" s="6" t="s">
        <v>50</v>
      </c>
      <c r="Q24" s="15" t="str">
        <f>GRUPOS!K16</f>
        <v>Ranking 11</v>
      </c>
      <c r="R24" s="6">
        <f>J14</f>
        <v>0</v>
      </c>
      <c r="S24" s="15">
        <f>H14</f>
        <v>0</v>
      </c>
      <c r="T24" s="6"/>
      <c r="U24" s="15"/>
      <c r="V24" s="6"/>
      <c r="W24" s="21"/>
      <c r="X24" s="6">
        <f t="shared" si="6"/>
        <v>0</v>
      </c>
      <c r="Y24" s="14">
        <f t="shared" si="7"/>
        <v>0</v>
      </c>
      <c r="Z24" s="15" t="e">
        <f t="shared" si="8"/>
        <v>#DIV/0!</v>
      </c>
      <c r="AA24" s="126"/>
      <c r="AF24" s="256"/>
      <c r="AG24" s="257" t="s">
        <v>33</v>
      </c>
      <c r="AH24" s="258"/>
      <c r="AI24" s="258"/>
      <c r="AJ24" s="258"/>
      <c r="AK24" s="258"/>
      <c r="AL24" s="258"/>
      <c r="AM24" s="258"/>
      <c r="AN24" s="258"/>
      <c r="AO24" s="258"/>
      <c r="AP24" s="258"/>
      <c r="AQ24" s="258"/>
      <c r="AR24" s="258"/>
      <c r="AS24" s="258"/>
      <c r="AT24" s="258"/>
      <c r="AU24" s="259"/>
      <c r="AV24" s="206"/>
    </row>
    <row r="25" spans="1:48" ht="30" customHeight="1" thickBot="1" x14ac:dyDescent="0.3">
      <c r="A25" s="205"/>
      <c r="B25" s="62">
        <v>18</v>
      </c>
      <c r="C25" s="63" t="s">
        <v>25</v>
      </c>
      <c r="D25" s="63" t="s">
        <v>141</v>
      </c>
      <c r="E25" s="63"/>
      <c r="F25" s="64" t="s">
        <v>148</v>
      </c>
      <c r="G25" s="121" t="s">
        <v>145</v>
      </c>
      <c r="H25" s="64"/>
      <c r="I25" s="64" t="s">
        <v>17</v>
      </c>
      <c r="J25" s="64"/>
      <c r="K25" s="121" t="s">
        <v>151</v>
      </c>
      <c r="L25" s="65" t="s">
        <v>114</v>
      </c>
      <c r="M25" s="206"/>
      <c r="O25" s="125"/>
      <c r="P25" s="7" t="s">
        <v>58</v>
      </c>
      <c r="Q25" s="134" t="str">
        <f>GRUPOS!K19</f>
        <v>Ranking 14</v>
      </c>
      <c r="R25" s="7">
        <f>J10</f>
        <v>0</v>
      </c>
      <c r="S25" s="134">
        <f>H10</f>
        <v>0</v>
      </c>
      <c r="T25" s="7"/>
      <c r="U25" s="134"/>
      <c r="V25" s="7"/>
      <c r="W25" s="136"/>
      <c r="X25" s="7">
        <f t="shared" si="6"/>
        <v>0</v>
      </c>
      <c r="Y25" s="11">
        <f t="shared" si="7"/>
        <v>0</v>
      </c>
      <c r="Z25" s="134" t="e">
        <f t="shared" si="8"/>
        <v>#DIV/0!</v>
      </c>
      <c r="AA25" s="126"/>
      <c r="AF25" s="256"/>
      <c r="AG25" s="260"/>
      <c r="AH25" s="260"/>
      <c r="AI25" s="260"/>
      <c r="AJ25" s="260"/>
      <c r="AK25" s="260"/>
      <c r="AL25" s="260"/>
      <c r="AM25" s="260"/>
      <c r="AN25" s="260"/>
      <c r="AO25" s="260"/>
      <c r="AP25" s="260"/>
      <c r="AQ25" s="260"/>
      <c r="AR25" s="260"/>
      <c r="AS25" s="260"/>
      <c r="AT25" s="260"/>
      <c r="AU25" s="260"/>
      <c r="AV25" s="206"/>
    </row>
    <row r="26" spans="1:48" ht="30" customHeight="1" thickBot="1" x14ac:dyDescent="0.3">
      <c r="A26" s="205"/>
      <c r="B26" s="62">
        <v>19</v>
      </c>
      <c r="C26" s="63" t="s">
        <v>80</v>
      </c>
      <c r="D26" s="63" t="s">
        <v>142</v>
      </c>
      <c r="E26" s="63"/>
      <c r="F26" s="64" t="s">
        <v>149</v>
      </c>
      <c r="G26" s="121" t="s">
        <v>146</v>
      </c>
      <c r="H26" s="64"/>
      <c r="I26" s="64" t="s">
        <v>17</v>
      </c>
      <c r="J26" s="64"/>
      <c r="K26" s="121" t="s">
        <v>152</v>
      </c>
      <c r="L26" s="65" t="s">
        <v>155</v>
      </c>
      <c r="M26" s="206"/>
      <c r="O26" s="125"/>
      <c r="AA26" s="126"/>
      <c r="AF26" s="256"/>
      <c r="AG26" s="27">
        <f>GRUPOS!Y8</f>
        <v>0</v>
      </c>
      <c r="AH26" s="13" t="s">
        <v>14</v>
      </c>
      <c r="AI26" s="8" t="s">
        <v>15</v>
      </c>
      <c r="AJ26" s="255"/>
      <c r="AK26" s="27">
        <f>GRUPOS!Y9</f>
        <v>0</v>
      </c>
      <c r="AL26" s="13" t="s">
        <v>14</v>
      </c>
      <c r="AM26" s="8" t="s">
        <v>15</v>
      </c>
      <c r="AN26" s="246"/>
      <c r="AO26" s="27">
        <f>GRUPOS!Y10</f>
        <v>0</v>
      </c>
      <c r="AP26" s="13" t="s">
        <v>14</v>
      </c>
      <c r="AQ26" s="8" t="s">
        <v>15</v>
      </c>
      <c r="AR26" s="255"/>
      <c r="AS26" s="27">
        <f>GRUPOS!Y11</f>
        <v>0</v>
      </c>
      <c r="AT26" s="13" t="s">
        <v>14</v>
      </c>
      <c r="AU26" s="8" t="s">
        <v>15</v>
      </c>
      <c r="AV26" s="206"/>
    </row>
    <row r="27" spans="1:48" ht="30" customHeight="1" thickBot="1" x14ac:dyDescent="0.3">
      <c r="A27" s="205"/>
      <c r="B27" s="66">
        <v>20</v>
      </c>
      <c r="C27" s="67" t="s">
        <v>81</v>
      </c>
      <c r="D27" s="67" t="s">
        <v>142</v>
      </c>
      <c r="E27" s="67"/>
      <c r="F27" s="68" t="s">
        <v>150</v>
      </c>
      <c r="G27" s="122" t="s">
        <v>184</v>
      </c>
      <c r="H27" s="68"/>
      <c r="I27" s="68" t="s">
        <v>17</v>
      </c>
      <c r="J27" s="68"/>
      <c r="K27" s="122" t="s">
        <v>153</v>
      </c>
      <c r="L27" s="69" t="s">
        <v>156</v>
      </c>
      <c r="M27" s="206"/>
      <c r="O27" s="125"/>
      <c r="P27" s="219" t="s">
        <v>34</v>
      </c>
      <c r="Q27" s="220"/>
      <c r="R27" s="223" t="s">
        <v>192</v>
      </c>
      <c r="S27" s="224"/>
      <c r="T27" s="224"/>
      <c r="U27" s="224"/>
      <c r="V27" s="224"/>
      <c r="W27" s="225"/>
      <c r="X27" s="213" t="s">
        <v>193</v>
      </c>
      <c r="Y27" s="214"/>
      <c r="Z27" s="215"/>
      <c r="AA27" s="126"/>
      <c r="AF27" s="256"/>
      <c r="AG27" s="29">
        <v>1</v>
      </c>
      <c r="AH27" s="4">
        <f>TABELA_AVERAGE!AM10</f>
        <v>0</v>
      </c>
      <c r="AI27" s="5">
        <f>TABELA_AVERAGE!AO10</f>
        <v>0</v>
      </c>
      <c r="AJ27" s="255"/>
      <c r="AK27" s="29">
        <v>1</v>
      </c>
      <c r="AL27" s="4">
        <f>TABELA_AVERAGE!AM14</f>
        <v>0</v>
      </c>
      <c r="AM27" s="5">
        <f>TABELA_AVERAGE!AO14</f>
        <v>0</v>
      </c>
      <c r="AN27" s="246"/>
      <c r="AO27" s="29">
        <v>1</v>
      </c>
      <c r="AP27" s="4">
        <f>TABELA_AVERAGE!AO14</f>
        <v>0</v>
      </c>
      <c r="AQ27" s="5">
        <f>TABELA_AVERAGE!AM13</f>
        <v>0</v>
      </c>
      <c r="AR27" s="255"/>
      <c r="AS27" s="29">
        <v>1</v>
      </c>
      <c r="AT27" s="4">
        <f>TABELA_AVERAGE!AO10</f>
        <v>0</v>
      </c>
      <c r="AU27" s="5">
        <f>TABELA_AVERAGE!AM10</f>
        <v>0</v>
      </c>
      <c r="AV27" s="206"/>
    </row>
    <row r="28" spans="1:48" ht="30" customHeight="1" thickBot="1" x14ac:dyDescent="0.3">
      <c r="A28" s="205"/>
      <c r="B28" s="262"/>
      <c r="C28" s="262"/>
      <c r="D28" s="262"/>
      <c r="E28" s="262"/>
      <c r="F28" s="262"/>
      <c r="G28" s="262"/>
      <c r="H28" s="262"/>
      <c r="I28" s="262"/>
      <c r="J28" s="262"/>
      <c r="K28" s="262"/>
      <c r="L28" s="262"/>
      <c r="M28" s="206"/>
      <c r="O28" s="125"/>
      <c r="P28" s="221"/>
      <c r="Q28" s="222"/>
      <c r="R28" s="28" t="s">
        <v>189</v>
      </c>
      <c r="S28" s="12" t="s">
        <v>188</v>
      </c>
      <c r="T28" s="30" t="s">
        <v>189</v>
      </c>
      <c r="U28" s="12" t="s">
        <v>188</v>
      </c>
      <c r="V28" s="30" t="s">
        <v>189</v>
      </c>
      <c r="W28" s="135" t="s">
        <v>188</v>
      </c>
      <c r="X28" s="30" t="s">
        <v>190</v>
      </c>
      <c r="Y28" s="16" t="s">
        <v>191</v>
      </c>
      <c r="Z28" s="12" t="s">
        <v>194</v>
      </c>
      <c r="AA28" s="126"/>
      <c r="AF28" s="256"/>
      <c r="AG28" s="3">
        <v>2</v>
      </c>
      <c r="AH28" s="4">
        <f>TABELA_AVERAGE!AM18</f>
        <v>0</v>
      </c>
      <c r="AI28" s="5">
        <f>TABELA_AVERAGE!AO18</f>
        <v>3</v>
      </c>
      <c r="AJ28" s="255"/>
      <c r="AK28" s="3">
        <v>2</v>
      </c>
      <c r="AL28" s="4">
        <f>TABELA_AVERAGE!AM22</f>
        <v>0</v>
      </c>
      <c r="AM28" s="5">
        <f>TABELA_AVERAGE!AO22</f>
        <v>0</v>
      </c>
      <c r="AN28" s="246"/>
      <c r="AO28" s="3">
        <v>2</v>
      </c>
      <c r="AP28" s="4">
        <f>TABELA_AVERAGE!AO18</f>
        <v>3</v>
      </c>
      <c r="AQ28" s="5">
        <f>TABELA_AVERAGE!AM18</f>
        <v>0</v>
      </c>
      <c r="AR28" s="255"/>
      <c r="AS28" s="3">
        <v>2</v>
      </c>
      <c r="AT28" s="4">
        <f>TABELA_AVERAGE!AO22</f>
        <v>0</v>
      </c>
      <c r="AU28" s="5">
        <f>TABELA_AVERAGE!AM22</f>
        <v>0</v>
      </c>
      <c r="AV28" s="206"/>
    </row>
    <row r="29" spans="1:48" ht="30" customHeight="1" thickBot="1" x14ac:dyDescent="0.3">
      <c r="A29" s="205"/>
      <c r="B29" s="263" t="s">
        <v>82</v>
      </c>
      <c r="C29" s="264"/>
      <c r="D29" s="264"/>
      <c r="E29" s="264"/>
      <c r="F29" s="264"/>
      <c r="G29" s="264"/>
      <c r="H29" s="264"/>
      <c r="I29" s="264"/>
      <c r="J29" s="264"/>
      <c r="K29" s="264"/>
      <c r="L29" s="265"/>
      <c r="M29" s="206"/>
      <c r="O29" s="125"/>
      <c r="P29" s="30" t="s">
        <v>40</v>
      </c>
      <c r="Q29" s="12" t="str">
        <f>GRUPOS!C17</f>
        <v>Ranking 4</v>
      </c>
      <c r="R29" s="6">
        <f>H11</f>
        <v>0</v>
      </c>
      <c r="S29" s="15">
        <f>J11</f>
        <v>0</v>
      </c>
      <c r="T29" s="6"/>
      <c r="U29" s="15"/>
      <c r="V29" s="6"/>
      <c r="W29" s="21"/>
      <c r="X29" s="6">
        <f>R29+T29+V29</f>
        <v>0</v>
      </c>
      <c r="Y29" s="14">
        <f>S29+U29+W29</f>
        <v>0</v>
      </c>
      <c r="Z29" s="15" t="e">
        <f>X29/Y29</f>
        <v>#DIV/0!</v>
      </c>
      <c r="AA29" s="126"/>
      <c r="AF29" s="256"/>
      <c r="AG29" s="3">
        <v>3</v>
      </c>
      <c r="AH29" s="4" t="str">
        <f>TABELA_AVERAGE!AM26</f>
        <v>CONTRA</v>
      </c>
      <c r="AI29" s="5">
        <f>TABELA_AVERAGE!AO26</f>
        <v>0</v>
      </c>
      <c r="AJ29" s="255"/>
      <c r="AK29" s="3">
        <v>3</v>
      </c>
      <c r="AL29" s="4">
        <f>TABELA_AVERAGE!AO26</f>
        <v>0</v>
      </c>
      <c r="AM29" s="5" t="str">
        <f>TABELA_AVERAGE!AM26</f>
        <v>CONTRA</v>
      </c>
      <c r="AN29" s="246"/>
      <c r="AO29" s="3">
        <v>3</v>
      </c>
      <c r="AP29" s="4" t="e">
        <f>TABELA_AVERAGE!#REF!</f>
        <v>#REF!</v>
      </c>
      <c r="AQ29" s="5" t="e">
        <f>TABELA_AVERAGE!#REF!</f>
        <v>#REF!</v>
      </c>
      <c r="AR29" s="255"/>
      <c r="AS29" s="3">
        <v>3</v>
      </c>
      <c r="AT29" s="4" t="e">
        <f>TABELA_AVERAGE!#REF!</f>
        <v>#REF!</v>
      </c>
      <c r="AU29" s="5" t="e">
        <f>TABELA_AVERAGE!#REF!</f>
        <v>#REF!</v>
      </c>
      <c r="AV29" s="206"/>
    </row>
    <row r="30" spans="1:48" ht="30" customHeight="1" x14ac:dyDescent="0.25">
      <c r="A30" s="205"/>
      <c r="B30" s="43">
        <v>21</v>
      </c>
      <c r="C30" s="37" t="s">
        <v>83</v>
      </c>
      <c r="D30" s="37" t="s">
        <v>163</v>
      </c>
      <c r="E30" s="37"/>
      <c r="F30" s="23" t="s">
        <v>167</v>
      </c>
      <c r="G30" s="51" t="str">
        <f>R36</f>
        <v>1º Geral</v>
      </c>
      <c r="H30" s="23"/>
      <c r="I30" s="23" t="s">
        <v>17</v>
      </c>
      <c r="J30" s="23"/>
      <c r="K30" s="52" t="str">
        <f>R43</f>
        <v>8º Geral</v>
      </c>
      <c r="L30" s="50" t="s">
        <v>171</v>
      </c>
      <c r="M30" s="206"/>
      <c r="O30" s="125"/>
      <c r="P30" s="6" t="s">
        <v>44</v>
      </c>
      <c r="Q30" s="15" t="str">
        <f>GRUPOS!C18</f>
        <v>Ranking 5</v>
      </c>
      <c r="R30" s="6">
        <f>H15</f>
        <v>0</v>
      </c>
      <c r="S30" s="15">
        <f>J15</f>
        <v>0</v>
      </c>
      <c r="T30" s="6"/>
      <c r="U30" s="15"/>
      <c r="V30" s="6"/>
      <c r="W30" s="21"/>
      <c r="X30" s="6">
        <f t="shared" ref="X30:X32" si="9">R30+T30+V30</f>
        <v>0</v>
      </c>
      <c r="Y30" s="14">
        <f t="shared" ref="Y30:Y32" si="10">S30+U30+W30</f>
        <v>0</v>
      </c>
      <c r="Z30" s="15" t="e">
        <f t="shared" ref="Z30:Z32" si="11">X30/Y30</f>
        <v>#DIV/0!</v>
      </c>
      <c r="AA30" s="126"/>
      <c r="AF30" s="256"/>
      <c r="AG30" s="3" t="s">
        <v>0</v>
      </c>
      <c r="AH30" s="4">
        <f>SUM(AH27:AH29)</f>
        <v>0</v>
      </c>
      <c r="AI30" s="5">
        <f>SUM(AI27:AI29)</f>
        <v>3</v>
      </c>
      <c r="AJ30" s="255"/>
      <c r="AK30" s="3" t="s">
        <v>0</v>
      </c>
      <c r="AL30" s="4">
        <f>SUM(AL27:AL29)</f>
        <v>0</v>
      </c>
      <c r="AM30" s="5">
        <f>SUM(AM27:AM29)</f>
        <v>0</v>
      </c>
      <c r="AN30" s="246"/>
      <c r="AO30" s="3" t="s">
        <v>0</v>
      </c>
      <c r="AP30" s="4" t="e">
        <f>SUM(AP27:AP29)</f>
        <v>#REF!</v>
      </c>
      <c r="AQ30" s="5" t="e">
        <f>SUM(AQ27:AQ29)</f>
        <v>#REF!</v>
      </c>
      <c r="AR30" s="255"/>
      <c r="AS30" s="3" t="s">
        <v>0</v>
      </c>
      <c r="AT30" s="4" t="e">
        <f>SUM(AT27:AT29)</f>
        <v>#REF!</v>
      </c>
      <c r="AU30" s="5" t="e">
        <f>SUM(AU27:AU29)</f>
        <v>#REF!</v>
      </c>
      <c r="AV30" s="206"/>
    </row>
    <row r="31" spans="1:48" ht="30" customHeight="1" thickBot="1" x14ac:dyDescent="0.3">
      <c r="A31" s="205"/>
      <c r="B31" s="44">
        <v>22</v>
      </c>
      <c r="C31" s="45" t="s">
        <v>83</v>
      </c>
      <c r="D31" s="45" t="s">
        <v>163</v>
      </c>
      <c r="E31" s="45"/>
      <c r="F31" s="46" t="s">
        <v>168</v>
      </c>
      <c r="G31" s="53" t="str">
        <f>R39</f>
        <v>4º Geral</v>
      </c>
      <c r="H31" s="46"/>
      <c r="I31" s="46" t="s">
        <v>17</v>
      </c>
      <c r="J31" s="46"/>
      <c r="K31" s="54" t="str">
        <f>R40</f>
        <v>5º Geral</v>
      </c>
      <c r="L31" s="47" t="s">
        <v>172</v>
      </c>
      <c r="M31" s="206"/>
      <c r="O31" s="125"/>
      <c r="P31" s="6" t="s">
        <v>52</v>
      </c>
      <c r="Q31" s="15" t="str">
        <f>GRUPOS!K17</f>
        <v>Ranking 12</v>
      </c>
      <c r="R31" s="6">
        <f>J15</f>
        <v>0</v>
      </c>
      <c r="S31" s="15">
        <f>H15</f>
        <v>0</v>
      </c>
      <c r="T31" s="6"/>
      <c r="U31" s="15"/>
      <c r="V31" s="6"/>
      <c r="W31" s="21"/>
      <c r="X31" s="6">
        <f t="shared" si="9"/>
        <v>0</v>
      </c>
      <c r="Y31" s="14">
        <f t="shared" si="10"/>
        <v>0</v>
      </c>
      <c r="Z31" s="15" t="e">
        <f t="shared" si="11"/>
        <v>#DIV/0!</v>
      </c>
      <c r="AA31" s="126"/>
      <c r="AF31" s="256"/>
      <c r="AG31" s="18" t="s">
        <v>16</v>
      </c>
      <c r="AH31" s="19"/>
      <c r="AI31" s="20">
        <f>AH30/AI30</f>
        <v>0</v>
      </c>
      <c r="AJ31" s="255"/>
      <c r="AK31" s="18" t="s">
        <v>16</v>
      </c>
      <c r="AL31" s="19"/>
      <c r="AM31" s="20" t="e">
        <f>AL30/AM30</f>
        <v>#DIV/0!</v>
      </c>
      <c r="AN31" s="246"/>
      <c r="AO31" s="18" t="s">
        <v>16</v>
      </c>
      <c r="AP31" s="19"/>
      <c r="AQ31" s="20" t="e">
        <f>AP30/AQ30</f>
        <v>#REF!</v>
      </c>
      <c r="AR31" s="255"/>
      <c r="AS31" s="18" t="s">
        <v>16</v>
      </c>
      <c r="AT31" s="19"/>
      <c r="AU31" s="20" t="e">
        <f>AT30/AU30</f>
        <v>#REF!</v>
      </c>
      <c r="AV31" s="206"/>
    </row>
    <row r="32" spans="1:48" ht="30" customHeight="1" thickBot="1" x14ac:dyDescent="0.3">
      <c r="A32" s="205"/>
      <c r="B32" s="44">
        <v>23</v>
      </c>
      <c r="C32" s="45" t="s">
        <v>83</v>
      </c>
      <c r="D32" s="45" t="s">
        <v>164</v>
      </c>
      <c r="E32" s="45"/>
      <c r="F32" s="46" t="s">
        <v>169</v>
      </c>
      <c r="G32" s="53" t="str">
        <f>R37</f>
        <v>2º Geral</v>
      </c>
      <c r="H32" s="46"/>
      <c r="I32" s="46" t="s">
        <v>17</v>
      </c>
      <c r="J32" s="46"/>
      <c r="K32" s="54" t="str">
        <f>R42</f>
        <v>7º Geral</v>
      </c>
      <c r="L32" s="47" t="s">
        <v>173</v>
      </c>
      <c r="M32" s="206"/>
      <c r="O32" s="125"/>
      <c r="P32" s="7" t="s">
        <v>60</v>
      </c>
      <c r="Q32" s="134" t="str">
        <f>GRUPOS!K18</f>
        <v>Ranking 13</v>
      </c>
      <c r="R32" s="7">
        <f>J11</f>
        <v>0</v>
      </c>
      <c r="S32" s="134">
        <f>H11</f>
        <v>0</v>
      </c>
      <c r="T32" s="7"/>
      <c r="U32" s="134"/>
      <c r="V32" s="7"/>
      <c r="W32" s="136"/>
      <c r="X32" s="7">
        <f t="shared" si="9"/>
        <v>0</v>
      </c>
      <c r="Y32" s="11">
        <f t="shared" si="10"/>
        <v>0</v>
      </c>
      <c r="Z32" s="134" t="e">
        <f t="shared" si="11"/>
        <v>#DIV/0!</v>
      </c>
      <c r="AA32" s="126"/>
      <c r="AF32" s="202"/>
      <c r="AG32" s="203"/>
      <c r="AH32" s="203"/>
      <c r="AI32" s="203"/>
      <c r="AJ32" s="203"/>
      <c r="AK32" s="203"/>
      <c r="AL32" s="203"/>
      <c r="AM32" s="203"/>
      <c r="AN32" s="203"/>
      <c r="AO32" s="203"/>
      <c r="AP32" s="203"/>
      <c r="AQ32" s="203"/>
      <c r="AR32" s="203"/>
      <c r="AS32" s="203"/>
      <c r="AT32" s="203"/>
      <c r="AU32" s="203"/>
      <c r="AV32" s="204"/>
    </row>
    <row r="33" spans="1:48" ht="30" customHeight="1" thickBot="1" x14ac:dyDescent="0.3">
      <c r="A33" s="205"/>
      <c r="B33" s="48">
        <v>24</v>
      </c>
      <c r="C33" s="38" t="s">
        <v>83</v>
      </c>
      <c r="D33" s="38" t="s">
        <v>164</v>
      </c>
      <c r="E33" s="38"/>
      <c r="F33" s="24" t="s">
        <v>170</v>
      </c>
      <c r="G33" s="55" t="str">
        <f>R38</f>
        <v>3º Geral</v>
      </c>
      <c r="H33" s="24"/>
      <c r="I33" s="24" t="s">
        <v>17</v>
      </c>
      <c r="J33" s="24"/>
      <c r="K33" s="56" t="str">
        <f>R41</f>
        <v>6º Geral</v>
      </c>
      <c r="L33" s="49" t="s">
        <v>174</v>
      </c>
      <c r="M33" s="206"/>
      <c r="O33" s="125"/>
      <c r="AA33" s="126"/>
      <c r="AF33" s="9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2"/>
    </row>
    <row r="34" spans="1:48" ht="30" customHeight="1" thickBot="1" x14ac:dyDescent="0.3">
      <c r="A34" s="205"/>
      <c r="B34" s="262"/>
      <c r="C34" s="262"/>
      <c r="D34" s="262"/>
      <c r="E34" s="262"/>
      <c r="F34" s="262"/>
      <c r="G34" s="262"/>
      <c r="H34" s="262"/>
      <c r="I34" s="262"/>
      <c r="J34" s="262"/>
      <c r="K34" s="262"/>
      <c r="L34" s="262"/>
      <c r="M34" s="206"/>
      <c r="O34" s="125"/>
      <c r="P34" s="226" t="s">
        <v>196</v>
      </c>
      <c r="Q34" s="227"/>
      <c r="R34" s="227"/>
      <c r="S34" s="227"/>
      <c r="T34" s="227"/>
      <c r="U34" s="227"/>
      <c r="V34" s="227"/>
      <c r="W34" s="227"/>
      <c r="X34" s="227"/>
      <c r="Y34" s="227"/>
      <c r="Z34" s="228"/>
      <c r="AA34" s="126"/>
      <c r="AF34" s="240"/>
      <c r="AG34" s="241"/>
      <c r="AH34" s="241"/>
      <c r="AI34" s="241"/>
      <c r="AJ34" s="241"/>
      <c r="AK34" s="241"/>
      <c r="AL34" s="241"/>
      <c r="AM34" s="241"/>
      <c r="AN34" s="241"/>
      <c r="AO34" s="241"/>
      <c r="AP34" s="241"/>
      <c r="AQ34" s="241"/>
      <c r="AR34" s="241"/>
      <c r="AS34" s="241"/>
      <c r="AT34" s="241"/>
      <c r="AU34" s="241"/>
      <c r="AV34" s="242"/>
    </row>
    <row r="35" spans="1:48" ht="30" customHeight="1" thickBot="1" x14ac:dyDescent="0.3">
      <c r="A35" s="205"/>
      <c r="B35" s="263" t="s">
        <v>29</v>
      </c>
      <c r="C35" s="264"/>
      <c r="D35" s="264"/>
      <c r="E35" s="264"/>
      <c r="F35" s="264"/>
      <c r="G35" s="264"/>
      <c r="H35" s="264"/>
      <c r="I35" s="264"/>
      <c r="J35" s="264"/>
      <c r="K35" s="264"/>
      <c r="L35" s="265"/>
      <c r="M35" s="206"/>
      <c r="O35" s="125"/>
      <c r="P35" s="141" t="s">
        <v>197</v>
      </c>
      <c r="Q35" s="140" t="s">
        <v>26</v>
      </c>
      <c r="R35" s="210" t="s">
        <v>20</v>
      </c>
      <c r="S35" s="211"/>
      <c r="T35" s="211"/>
      <c r="U35" s="211"/>
      <c r="V35" s="211"/>
      <c r="W35" s="211"/>
      <c r="X35" s="211"/>
      <c r="Y35" s="212"/>
      <c r="Z35" s="142" t="s">
        <v>198</v>
      </c>
      <c r="AA35" s="126"/>
      <c r="AF35" s="256"/>
      <c r="AG35" s="257" t="s">
        <v>34</v>
      </c>
      <c r="AH35" s="258"/>
      <c r="AI35" s="258"/>
      <c r="AJ35" s="258"/>
      <c r="AK35" s="258"/>
      <c r="AL35" s="258"/>
      <c r="AM35" s="258"/>
      <c r="AN35" s="258"/>
      <c r="AO35" s="258"/>
      <c r="AP35" s="258"/>
      <c r="AQ35" s="258"/>
      <c r="AR35" s="258"/>
      <c r="AS35" s="258"/>
      <c r="AT35" s="258"/>
      <c r="AU35" s="259"/>
      <c r="AV35" s="206"/>
    </row>
    <row r="36" spans="1:48" ht="30" customHeight="1" thickBot="1" x14ac:dyDescent="0.3">
      <c r="A36" s="205"/>
      <c r="B36" s="43">
        <v>25</v>
      </c>
      <c r="C36" s="37" t="s">
        <v>84</v>
      </c>
      <c r="D36" s="37" t="s">
        <v>165</v>
      </c>
      <c r="E36" s="37"/>
      <c r="F36" s="23" t="s">
        <v>175</v>
      </c>
      <c r="G36" s="31" t="s">
        <v>157</v>
      </c>
      <c r="H36" s="23"/>
      <c r="I36" s="37" t="s">
        <v>17</v>
      </c>
      <c r="J36" s="23"/>
      <c r="K36" s="33" t="s">
        <v>159</v>
      </c>
      <c r="L36" s="50" t="s">
        <v>177</v>
      </c>
      <c r="M36" s="206"/>
      <c r="O36" s="125"/>
      <c r="P36" s="30" t="s">
        <v>1</v>
      </c>
      <c r="Q36" s="16"/>
      <c r="R36" s="278" t="s">
        <v>92</v>
      </c>
      <c r="S36" s="278"/>
      <c r="T36" s="278"/>
      <c r="U36" s="278"/>
      <c r="V36" s="278"/>
      <c r="W36" s="278"/>
      <c r="X36" s="278"/>
      <c r="Y36" s="278"/>
      <c r="Z36" s="12"/>
      <c r="AA36" s="126"/>
      <c r="AF36" s="256"/>
      <c r="AG36" s="260"/>
      <c r="AH36" s="260"/>
      <c r="AI36" s="260"/>
      <c r="AJ36" s="260"/>
      <c r="AK36" s="260"/>
      <c r="AL36" s="260"/>
      <c r="AM36" s="260"/>
      <c r="AN36" s="260"/>
      <c r="AO36" s="260"/>
      <c r="AP36" s="260"/>
      <c r="AQ36" s="260"/>
      <c r="AR36" s="260"/>
      <c r="AS36" s="260"/>
      <c r="AT36" s="260"/>
      <c r="AU36" s="260"/>
      <c r="AV36" s="206"/>
    </row>
    <row r="37" spans="1:48" ht="30" customHeight="1" thickBot="1" x14ac:dyDescent="0.3">
      <c r="A37" s="205"/>
      <c r="B37" s="48">
        <v>26</v>
      </c>
      <c r="C37" s="38" t="s">
        <v>84</v>
      </c>
      <c r="D37" s="38" t="s">
        <v>163</v>
      </c>
      <c r="E37" s="38"/>
      <c r="F37" s="24" t="s">
        <v>176</v>
      </c>
      <c r="G37" s="32" t="s">
        <v>158</v>
      </c>
      <c r="H37" s="24"/>
      <c r="I37" s="38" t="s">
        <v>17</v>
      </c>
      <c r="J37" s="24"/>
      <c r="K37" s="34" t="s">
        <v>160</v>
      </c>
      <c r="L37" s="49" t="s">
        <v>178</v>
      </c>
      <c r="M37" s="206"/>
      <c r="O37" s="125"/>
      <c r="P37" s="6" t="s">
        <v>3</v>
      </c>
      <c r="Q37" s="14"/>
      <c r="R37" s="279" t="s">
        <v>93</v>
      </c>
      <c r="S37" s="279"/>
      <c r="T37" s="279"/>
      <c r="U37" s="279"/>
      <c r="V37" s="279"/>
      <c r="W37" s="279"/>
      <c r="X37" s="279"/>
      <c r="Y37" s="279"/>
      <c r="Z37" s="15"/>
      <c r="AA37" s="126"/>
      <c r="AF37" s="256"/>
      <c r="AG37" s="27">
        <f>GRUPOS!AC8</f>
        <v>0</v>
      </c>
      <c r="AH37" s="13" t="s">
        <v>14</v>
      </c>
      <c r="AI37" s="8" t="s">
        <v>15</v>
      </c>
      <c r="AJ37" s="255"/>
      <c r="AK37" s="27">
        <f>GRUPOS!AC9</f>
        <v>0</v>
      </c>
      <c r="AL37" s="13" t="s">
        <v>14</v>
      </c>
      <c r="AM37" s="8" t="s">
        <v>15</v>
      </c>
      <c r="AN37" s="246"/>
      <c r="AO37" s="27">
        <f>GRUPOS!AC10</f>
        <v>0</v>
      </c>
      <c r="AP37" s="13" t="s">
        <v>14</v>
      </c>
      <c r="AQ37" s="8" t="s">
        <v>15</v>
      </c>
      <c r="AR37" s="255"/>
      <c r="AS37" s="27">
        <f>GRUPOS!AC11</f>
        <v>0</v>
      </c>
      <c r="AT37" s="13" t="s">
        <v>14</v>
      </c>
      <c r="AU37" s="8" t="s">
        <v>15</v>
      </c>
      <c r="AV37" s="206"/>
    </row>
    <row r="38" spans="1:48" ht="30" customHeight="1" thickBot="1" x14ac:dyDescent="0.3">
      <c r="A38" s="205"/>
      <c r="B38" s="262"/>
      <c r="C38" s="262"/>
      <c r="D38" s="262"/>
      <c r="E38" s="262"/>
      <c r="F38" s="262"/>
      <c r="G38" s="262"/>
      <c r="H38" s="262"/>
      <c r="I38" s="262"/>
      <c r="J38" s="262"/>
      <c r="K38" s="262"/>
      <c r="L38" s="262"/>
      <c r="M38" s="206"/>
      <c r="O38" s="125"/>
      <c r="P38" s="6" t="s">
        <v>4</v>
      </c>
      <c r="Q38" s="14"/>
      <c r="R38" s="279" t="s">
        <v>94</v>
      </c>
      <c r="S38" s="279"/>
      <c r="T38" s="279"/>
      <c r="U38" s="279"/>
      <c r="V38" s="279"/>
      <c r="W38" s="279"/>
      <c r="X38" s="279"/>
      <c r="Y38" s="279"/>
      <c r="Z38" s="15"/>
      <c r="AA38" s="126"/>
      <c r="AF38" s="256"/>
      <c r="AG38" s="29">
        <v>1</v>
      </c>
      <c r="AH38" s="4">
        <f>TABELA_AVERAGE!AM11</f>
        <v>0</v>
      </c>
      <c r="AI38" s="5">
        <f>TABELA_AVERAGE!AO11</f>
        <v>0</v>
      </c>
      <c r="AJ38" s="255"/>
      <c r="AK38" s="29">
        <v>1</v>
      </c>
      <c r="AL38" s="4" t="str">
        <f>TABELA_AVERAGE!AM15</f>
        <v>CONTRA</v>
      </c>
      <c r="AM38" s="5">
        <f>TABELA_AVERAGE!AO15</f>
        <v>0</v>
      </c>
      <c r="AN38" s="246"/>
      <c r="AO38" s="29">
        <v>1</v>
      </c>
      <c r="AP38" s="4">
        <f>TABELA_AVERAGE!AO15</f>
        <v>0</v>
      </c>
      <c r="AQ38" s="5" t="str">
        <f>TABELA_AVERAGE!AM15</f>
        <v>CONTRA</v>
      </c>
      <c r="AR38" s="255"/>
      <c r="AS38" s="29">
        <v>1</v>
      </c>
      <c r="AT38" s="4">
        <f>TABELA_AVERAGE!AO11</f>
        <v>0</v>
      </c>
      <c r="AU38" s="5">
        <f>TABELA_AVERAGE!AM11</f>
        <v>0</v>
      </c>
      <c r="AV38" s="206"/>
    </row>
    <row r="39" spans="1:48" ht="30" customHeight="1" thickBot="1" x14ac:dyDescent="0.3">
      <c r="A39" s="205"/>
      <c r="B39" s="269" t="s">
        <v>87</v>
      </c>
      <c r="C39" s="270"/>
      <c r="D39" s="270"/>
      <c r="E39" s="270"/>
      <c r="F39" s="270"/>
      <c r="G39" s="270"/>
      <c r="H39" s="270"/>
      <c r="I39" s="270"/>
      <c r="J39" s="270"/>
      <c r="K39" s="270"/>
      <c r="L39" s="271"/>
      <c r="M39" s="206"/>
      <c r="O39" s="125"/>
      <c r="P39" s="143" t="s">
        <v>2</v>
      </c>
      <c r="Q39" s="133"/>
      <c r="R39" s="280" t="s">
        <v>95</v>
      </c>
      <c r="S39" s="280"/>
      <c r="T39" s="280"/>
      <c r="U39" s="280"/>
      <c r="V39" s="280"/>
      <c r="W39" s="280"/>
      <c r="X39" s="280"/>
      <c r="Y39" s="280"/>
      <c r="Z39" s="144"/>
      <c r="AA39" s="126"/>
      <c r="AF39" s="256"/>
      <c r="AG39" s="3">
        <v>2</v>
      </c>
      <c r="AH39" s="4">
        <f>TABELA_AVERAGE!AM19</f>
        <v>0</v>
      </c>
      <c r="AI39" s="5" t="str">
        <f>TABELA_AVERAGE!AO19</f>
        <v>TOTAL</v>
      </c>
      <c r="AJ39" s="255"/>
      <c r="AK39" s="3">
        <v>2</v>
      </c>
      <c r="AL39" s="4">
        <f>TABELA_AVERAGE!AM23</f>
        <v>0</v>
      </c>
      <c r="AM39" s="5">
        <f>TABELA_AVERAGE!AO23</f>
        <v>0</v>
      </c>
      <c r="AN39" s="246"/>
      <c r="AO39" s="3">
        <v>2</v>
      </c>
      <c r="AP39" s="4" t="str">
        <f>TABELA_AVERAGE!AO19</f>
        <v>TOTAL</v>
      </c>
      <c r="AQ39" s="5">
        <f>TABELA_AVERAGE!AM19</f>
        <v>0</v>
      </c>
      <c r="AR39" s="255"/>
      <c r="AS39" s="3">
        <v>2</v>
      </c>
      <c r="AT39" s="4">
        <f>TABELA_AVERAGE!AO23</f>
        <v>0</v>
      </c>
      <c r="AU39" s="5">
        <f>TABELA_AVERAGE!AM23</f>
        <v>0</v>
      </c>
      <c r="AV39" s="206"/>
    </row>
    <row r="40" spans="1:48" ht="30" customHeight="1" thickBot="1" x14ac:dyDescent="0.3">
      <c r="A40" s="205"/>
      <c r="B40" s="57">
        <v>27</v>
      </c>
      <c r="C40" s="39" t="s">
        <v>88</v>
      </c>
      <c r="D40" s="39" t="s">
        <v>166</v>
      </c>
      <c r="E40" s="39"/>
      <c r="F40" s="25" t="s">
        <v>180</v>
      </c>
      <c r="G40" s="36" t="s">
        <v>161</v>
      </c>
      <c r="H40" s="25"/>
      <c r="I40" s="39" t="s">
        <v>17</v>
      </c>
      <c r="J40" s="25"/>
      <c r="K40" s="35" t="s">
        <v>162</v>
      </c>
      <c r="L40" s="58" t="s">
        <v>179</v>
      </c>
      <c r="M40" s="206"/>
      <c r="O40" s="125"/>
      <c r="P40" s="30" t="s">
        <v>5</v>
      </c>
      <c r="Q40" s="16"/>
      <c r="R40" s="278" t="s">
        <v>96</v>
      </c>
      <c r="S40" s="278"/>
      <c r="T40" s="278"/>
      <c r="U40" s="278"/>
      <c r="V40" s="278"/>
      <c r="W40" s="278"/>
      <c r="X40" s="278"/>
      <c r="Y40" s="278"/>
      <c r="Z40" s="12"/>
      <c r="AA40" s="126"/>
      <c r="AF40" s="256"/>
      <c r="AG40" s="3">
        <v>3</v>
      </c>
      <c r="AH40" s="4">
        <f>TABELA_AVERAGE!AM27</f>
        <v>0</v>
      </c>
      <c r="AI40" s="5">
        <f>TABELA_AVERAGE!AO27</f>
        <v>1</v>
      </c>
      <c r="AJ40" s="255"/>
      <c r="AK40" s="3">
        <v>3</v>
      </c>
      <c r="AL40" s="4">
        <f>TABELA_AVERAGE!AO27</f>
        <v>1</v>
      </c>
      <c r="AM40" s="5">
        <f>TABELA_AVERAGE!AM27</f>
        <v>0</v>
      </c>
      <c r="AN40" s="246"/>
      <c r="AO40" s="3">
        <v>3</v>
      </c>
      <c r="AP40" s="4" t="e">
        <f>TABELA_AVERAGE!#REF!</f>
        <v>#REF!</v>
      </c>
      <c r="AQ40" s="5" t="e">
        <f>TABELA_AVERAGE!#REF!</f>
        <v>#REF!</v>
      </c>
      <c r="AR40" s="255"/>
      <c r="AS40" s="3">
        <v>3</v>
      </c>
      <c r="AT40" s="4" t="e">
        <f>TABELA_AVERAGE!#REF!</f>
        <v>#REF!</v>
      </c>
      <c r="AU40" s="5" t="e">
        <f>TABELA_AVERAGE!#REF!</f>
        <v>#REF!</v>
      </c>
      <c r="AV40" s="206"/>
    </row>
    <row r="41" spans="1:48" ht="30" customHeight="1" thickBot="1" x14ac:dyDescent="0.3">
      <c r="A41" s="205"/>
      <c r="B41" s="262"/>
      <c r="C41" s="262"/>
      <c r="D41" s="262"/>
      <c r="E41" s="262"/>
      <c r="F41" s="262"/>
      <c r="G41" s="262"/>
      <c r="H41" s="262"/>
      <c r="I41" s="262"/>
      <c r="J41" s="262"/>
      <c r="K41" s="262"/>
      <c r="L41" s="262"/>
      <c r="M41" s="206"/>
      <c r="O41" s="125"/>
      <c r="P41" s="6" t="s">
        <v>6</v>
      </c>
      <c r="Q41" s="132"/>
      <c r="R41" s="279" t="s">
        <v>97</v>
      </c>
      <c r="S41" s="279"/>
      <c r="T41" s="279"/>
      <c r="U41" s="279"/>
      <c r="V41" s="279"/>
      <c r="W41" s="279"/>
      <c r="X41" s="279"/>
      <c r="Y41" s="279"/>
      <c r="Z41" s="137"/>
      <c r="AA41" s="126"/>
      <c r="AF41" s="256"/>
      <c r="AG41" s="3" t="s">
        <v>0</v>
      </c>
      <c r="AH41" s="4">
        <f>SUM(AH38:AH40)</f>
        <v>0</v>
      </c>
      <c r="AI41" s="5">
        <f>SUM(AI38:AI40)</f>
        <v>1</v>
      </c>
      <c r="AJ41" s="255"/>
      <c r="AK41" s="3" t="s">
        <v>0</v>
      </c>
      <c r="AL41" s="4">
        <f>SUM(AL38:AL40)</f>
        <v>1</v>
      </c>
      <c r="AM41" s="5">
        <f>SUM(AM38:AM40)</f>
        <v>0</v>
      </c>
      <c r="AN41" s="246"/>
      <c r="AO41" s="3" t="s">
        <v>0</v>
      </c>
      <c r="AP41" s="4" t="e">
        <f>SUM(AP38:AP40)</f>
        <v>#REF!</v>
      </c>
      <c r="AQ41" s="5" t="e">
        <f>SUM(AQ38:AQ40)</f>
        <v>#REF!</v>
      </c>
      <c r="AR41" s="255"/>
      <c r="AS41" s="3" t="s">
        <v>0</v>
      </c>
      <c r="AT41" s="4" t="e">
        <f>SUM(AT38:AT40)</f>
        <v>#REF!</v>
      </c>
      <c r="AU41" s="5" t="e">
        <f>SUM(AU38:AU40)</f>
        <v>#REF!</v>
      </c>
      <c r="AV41" s="206"/>
    </row>
    <row r="42" spans="1:48" ht="30" customHeight="1" thickBot="1" x14ac:dyDescent="0.3">
      <c r="A42" s="205"/>
      <c r="B42" s="263" t="s">
        <v>89</v>
      </c>
      <c r="C42" s="264"/>
      <c r="D42" s="264"/>
      <c r="E42" s="264"/>
      <c r="F42" s="264"/>
      <c r="G42" s="264"/>
      <c r="H42" s="264"/>
      <c r="I42" s="264"/>
      <c r="J42" s="264"/>
      <c r="K42" s="264"/>
      <c r="L42" s="265"/>
      <c r="M42" s="206"/>
      <c r="O42" s="125"/>
      <c r="P42" s="6" t="s">
        <v>7</v>
      </c>
      <c r="Q42" s="132"/>
      <c r="R42" s="279" t="s">
        <v>98</v>
      </c>
      <c r="S42" s="279"/>
      <c r="T42" s="279"/>
      <c r="U42" s="279"/>
      <c r="V42" s="279"/>
      <c r="W42" s="279"/>
      <c r="X42" s="279"/>
      <c r="Y42" s="279"/>
      <c r="Z42" s="137"/>
      <c r="AA42" s="126"/>
      <c r="AF42" s="256"/>
      <c r="AG42" s="18" t="s">
        <v>16</v>
      </c>
      <c r="AH42" s="19"/>
      <c r="AI42" s="20">
        <f>AH41/AI41</f>
        <v>0</v>
      </c>
      <c r="AJ42" s="255"/>
      <c r="AK42" s="18" t="s">
        <v>16</v>
      </c>
      <c r="AL42" s="19"/>
      <c r="AM42" s="20" t="e">
        <f>AL41/AM41</f>
        <v>#DIV/0!</v>
      </c>
      <c r="AN42" s="246"/>
      <c r="AO42" s="18" t="s">
        <v>16</v>
      </c>
      <c r="AP42" s="19"/>
      <c r="AQ42" s="20" t="e">
        <f>AP41/AQ41</f>
        <v>#REF!</v>
      </c>
      <c r="AR42" s="255"/>
      <c r="AS42" s="18" t="s">
        <v>16</v>
      </c>
      <c r="AT42" s="19"/>
      <c r="AU42" s="20" t="e">
        <f>AT41/AU41</f>
        <v>#REF!</v>
      </c>
      <c r="AV42" s="206"/>
    </row>
    <row r="43" spans="1:48" ht="30" customHeight="1" thickBot="1" x14ac:dyDescent="0.3">
      <c r="A43" s="205"/>
      <c r="B43" s="57">
        <v>28</v>
      </c>
      <c r="C43" s="39" t="s">
        <v>90</v>
      </c>
      <c r="D43" s="39" t="s">
        <v>166</v>
      </c>
      <c r="E43" s="39"/>
      <c r="F43" s="25" t="s">
        <v>181</v>
      </c>
      <c r="G43" s="36" t="s">
        <v>85</v>
      </c>
      <c r="H43" s="25"/>
      <c r="I43" s="39" t="s">
        <v>17</v>
      </c>
      <c r="J43" s="25"/>
      <c r="K43" s="35" t="s">
        <v>86</v>
      </c>
      <c r="L43" s="58" t="s">
        <v>182</v>
      </c>
      <c r="M43" s="206"/>
      <c r="O43" s="125"/>
      <c r="P43" s="7" t="s">
        <v>8</v>
      </c>
      <c r="Q43" s="138"/>
      <c r="R43" s="281" t="s">
        <v>99</v>
      </c>
      <c r="S43" s="281"/>
      <c r="T43" s="281"/>
      <c r="U43" s="281"/>
      <c r="V43" s="281"/>
      <c r="W43" s="281"/>
      <c r="X43" s="281"/>
      <c r="Y43" s="281"/>
      <c r="Z43" s="139"/>
      <c r="AA43" s="126"/>
      <c r="AF43" s="202"/>
      <c r="AG43" s="203"/>
      <c r="AH43" s="203"/>
      <c r="AI43" s="203"/>
      <c r="AJ43" s="203"/>
      <c r="AK43" s="203"/>
      <c r="AL43" s="203"/>
      <c r="AM43" s="203"/>
      <c r="AN43" s="203"/>
      <c r="AO43" s="203"/>
      <c r="AP43" s="203"/>
      <c r="AQ43" s="203"/>
      <c r="AR43" s="203"/>
      <c r="AS43" s="203"/>
      <c r="AT43" s="203"/>
      <c r="AU43" s="203"/>
      <c r="AV43" s="204"/>
    </row>
    <row r="44" spans="1:48" ht="30" customHeight="1" thickBot="1" x14ac:dyDescent="0.3">
      <c r="A44" s="202"/>
      <c r="B44" s="203"/>
      <c r="C44" s="203"/>
      <c r="D44" s="203"/>
      <c r="E44" s="203"/>
      <c r="F44" s="203"/>
      <c r="G44" s="203"/>
      <c r="H44" s="203"/>
      <c r="I44" s="203"/>
      <c r="J44" s="203"/>
      <c r="K44" s="203"/>
      <c r="L44" s="203"/>
      <c r="M44" s="204"/>
      <c r="O44" s="127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9"/>
      <c r="AF44" s="9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2"/>
    </row>
    <row r="45" spans="1:48" ht="30" customHeight="1" thickBot="1" x14ac:dyDescent="0.3">
      <c r="AF45" s="240"/>
      <c r="AG45" s="241"/>
      <c r="AH45" s="241"/>
      <c r="AI45" s="241"/>
      <c r="AJ45" s="241"/>
      <c r="AK45" s="241"/>
      <c r="AL45" s="241"/>
      <c r="AM45" s="241"/>
      <c r="AN45" s="241"/>
      <c r="AO45" s="241"/>
      <c r="AP45" s="241"/>
      <c r="AQ45" s="241"/>
      <c r="AR45" s="241"/>
      <c r="AS45" s="241"/>
      <c r="AT45" s="241"/>
      <c r="AU45" s="241"/>
      <c r="AV45" s="242"/>
    </row>
    <row r="46" spans="1:48" ht="30" customHeight="1" thickBot="1" x14ac:dyDescent="0.3">
      <c r="AF46" s="205"/>
      <c r="AG46" s="243" t="s">
        <v>21</v>
      </c>
      <c r="AH46" s="244"/>
      <c r="AI46" s="244"/>
      <c r="AJ46" s="244"/>
      <c r="AK46" s="244"/>
      <c r="AL46" s="244"/>
      <c r="AM46" s="244"/>
      <c r="AN46" s="244"/>
      <c r="AO46" s="244"/>
      <c r="AP46" s="244"/>
      <c r="AQ46" s="244"/>
      <c r="AR46" s="244"/>
      <c r="AS46" s="244"/>
      <c r="AT46" s="244"/>
      <c r="AU46" s="245"/>
      <c r="AV46" s="246"/>
    </row>
    <row r="47" spans="1:48" ht="30" customHeight="1" thickBot="1" x14ac:dyDescent="0.3">
      <c r="AF47" s="205"/>
      <c r="AG47" s="130" t="s">
        <v>22</v>
      </c>
      <c r="AH47" s="247" t="s">
        <v>19</v>
      </c>
      <c r="AI47" s="248"/>
      <c r="AJ47" s="248"/>
      <c r="AK47" s="248"/>
      <c r="AL47" s="248"/>
      <c r="AM47" s="248"/>
      <c r="AN47" s="248"/>
      <c r="AO47" s="249"/>
      <c r="AP47" s="247" t="s">
        <v>23</v>
      </c>
      <c r="AQ47" s="249"/>
      <c r="AR47" s="250" t="s">
        <v>91</v>
      </c>
      <c r="AS47" s="251"/>
      <c r="AT47" s="252" t="s">
        <v>18</v>
      </c>
      <c r="AU47" s="253"/>
      <c r="AV47" s="246"/>
    </row>
    <row r="48" spans="1:48" ht="30" customHeight="1" x14ac:dyDescent="0.25">
      <c r="AF48" s="205"/>
      <c r="AG48" s="131" t="s">
        <v>1</v>
      </c>
      <c r="AH48" s="254" t="s">
        <v>92</v>
      </c>
      <c r="AI48" s="254"/>
      <c r="AJ48" s="254"/>
      <c r="AK48" s="254"/>
      <c r="AL48" s="254"/>
      <c r="AM48" s="254"/>
      <c r="AN48" s="254"/>
      <c r="AO48" s="254"/>
      <c r="AP48" s="238"/>
      <c r="AQ48" s="238"/>
      <c r="AR48" s="238"/>
      <c r="AS48" s="238"/>
      <c r="AT48" s="238"/>
      <c r="AU48" s="239"/>
      <c r="AV48" s="246"/>
    </row>
    <row r="49" spans="32:48" ht="30" customHeight="1" x14ac:dyDescent="0.25">
      <c r="AF49" s="205"/>
      <c r="AG49" s="3" t="s">
        <v>3</v>
      </c>
      <c r="AH49" s="232" t="s">
        <v>93</v>
      </c>
      <c r="AI49" s="232"/>
      <c r="AJ49" s="232"/>
      <c r="AK49" s="232"/>
      <c r="AL49" s="232"/>
      <c r="AM49" s="232"/>
      <c r="AN49" s="232"/>
      <c r="AO49" s="232"/>
      <c r="AP49" s="233"/>
      <c r="AQ49" s="233"/>
      <c r="AR49" s="233"/>
      <c r="AS49" s="233"/>
      <c r="AT49" s="233"/>
      <c r="AU49" s="234"/>
      <c r="AV49" s="246"/>
    </row>
    <row r="50" spans="32:48" ht="30" customHeight="1" x14ac:dyDescent="0.25">
      <c r="AF50" s="205"/>
      <c r="AG50" s="3" t="s">
        <v>4</v>
      </c>
      <c r="AH50" s="232" t="s">
        <v>94</v>
      </c>
      <c r="AI50" s="232"/>
      <c r="AJ50" s="232"/>
      <c r="AK50" s="232"/>
      <c r="AL50" s="232"/>
      <c r="AM50" s="232"/>
      <c r="AN50" s="232"/>
      <c r="AO50" s="232"/>
      <c r="AP50" s="233"/>
      <c r="AQ50" s="233"/>
      <c r="AR50" s="233"/>
      <c r="AS50" s="233"/>
      <c r="AT50" s="233"/>
      <c r="AU50" s="234"/>
      <c r="AV50" s="246"/>
    </row>
    <row r="51" spans="32:48" ht="30" customHeight="1" x14ac:dyDescent="0.25">
      <c r="AF51" s="205"/>
      <c r="AG51" s="3" t="s">
        <v>2</v>
      </c>
      <c r="AH51" s="232" t="s">
        <v>95</v>
      </c>
      <c r="AI51" s="232"/>
      <c r="AJ51" s="232"/>
      <c r="AK51" s="232"/>
      <c r="AL51" s="232"/>
      <c r="AM51" s="232"/>
      <c r="AN51" s="232"/>
      <c r="AO51" s="232"/>
      <c r="AP51" s="233"/>
      <c r="AQ51" s="233"/>
      <c r="AR51" s="233"/>
      <c r="AS51" s="233"/>
      <c r="AT51" s="233"/>
      <c r="AU51" s="234"/>
      <c r="AV51" s="246"/>
    </row>
    <row r="52" spans="32:48" ht="30" customHeight="1" x14ac:dyDescent="0.25">
      <c r="AF52" s="205"/>
      <c r="AG52" s="3" t="s">
        <v>5</v>
      </c>
      <c r="AH52" s="232" t="s">
        <v>96</v>
      </c>
      <c r="AI52" s="232"/>
      <c r="AJ52" s="232"/>
      <c r="AK52" s="232"/>
      <c r="AL52" s="232"/>
      <c r="AM52" s="232"/>
      <c r="AN52" s="232"/>
      <c r="AO52" s="232"/>
      <c r="AP52" s="233"/>
      <c r="AQ52" s="233"/>
      <c r="AR52" s="233"/>
      <c r="AS52" s="233"/>
      <c r="AT52" s="233"/>
      <c r="AU52" s="234"/>
      <c r="AV52" s="246"/>
    </row>
    <row r="53" spans="32:48" ht="30" customHeight="1" x14ac:dyDescent="0.25">
      <c r="AF53" s="205"/>
      <c r="AG53" s="3" t="s">
        <v>6</v>
      </c>
      <c r="AH53" s="232" t="s">
        <v>97</v>
      </c>
      <c r="AI53" s="232"/>
      <c r="AJ53" s="232"/>
      <c r="AK53" s="232"/>
      <c r="AL53" s="232"/>
      <c r="AM53" s="232"/>
      <c r="AN53" s="232"/>
      <c r="AO53" s="232"/>
      <c r="AP53" s="233"/>
      <c r="AQ53" s="233"/>
      <c r="AR53" s="233"/>
      <c r="AS53" s="233"/>
      <c r="AT53" s="233"/>
      <c r="AU53" s="234"/>
      <c r="AV53" s="246"/>
    </row>
    <row r="54" spans="32:48" ht="30" customHeight="1" x14ac:dyDescent="0.25">
      <c r="AF54" s="205"/>
      <c r="AG54" s="3" t="s">
        <v>7</v>
      </c>
      <c r="AH54" s="232" t="s">
        <v>98</v>
      </c>
      <c r="AI54" s="232"/>
      <c r="AJ54" s="232"/>
      <c r="AK54" s="232"/>
      <c r="AL54" s="232"/>
      <c r="AM54" s="232"/>
      <c r="AN54" s="232"/>
      <c r="AO54" s="232"/>
      <c r="AP54" s="233"/>
      <c r="AQ54" s="233"/>
      <c r="AR54" s="233"/>
      <c r="AS54" s="233"/>
      <c r="AT54" s="233"/>
      <c r="AU54" s="234"/>
      <c r="AV54" s="246"/>
    </row>
    <row r="55" spans="32:48" ht="30" customHeight="1" thickBot="1" x14ac:dyDescent="0.3">
      <c r="AF55" s="205"/>
      <c r="AG55" s="18" t="s">
        <v>8</v>
      </c>
      <c r="AH55" s="235" t="s">
        <v>99</v>
      </c>
      <c r="AI55" s="235"/>
      <c r="AJ55" s="235"/>
      <c r="AK55" s="235"/>
      <c r="AL55" s="235"/>
      <c r="AM55" s="235"/>
      <c r="AN55" s="235"/>
      <c r="AO55" s="235"/>
      <c r="AP55" s="236"/>
      <c r="AQ55" s="236"/>
      <c r="AR55" s="236"/>
      <c r="AS55" s="236"/>
      <c r="AT55" s="236"/>
      <c r="AU55" s="237"/>
      <c r="AV55" s="246"/>
    </row>
    <row r="56" spans="32:48" ht="30" customHeight="1" thickBot="1" x14ac:dyDescent="0.3">
      <c r="AF56" s="202"/>
      <c r="AG56" s="203"/>
      <c r="AH56" s="203"/>
      <c r="AI56" s="203"/>
      <c r="AJ56" s="203"/>
      <c r="AK56" s="203"/>
      <c r="AL56" s="203"/>
      <c r="AM56" s="203"/>
      <c r="AN56" s="203"/>
      <c r="AO56" s="203"/>
      <c r="AP56" s="203"/>
      <c r="AQ56" s="203"/>
      <c r="AR56" s="203"/>
      <c r="AS56" s="203"/>
      <c r="AT56" s="203"/>
      <c r="AU56" s="203"/>
      <c r="AV56" s="204"/>
    </row>
    <row r="57" spans="32:48" ht="30" customHeight="1" thickBot="1" x14ac:dyDescent="0.3"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</row>
    <row r="58" spans="32:48" ht="30" customHeight="1" thickBot="1" x14ac:dyDescent="0.3">
      <c r="AF58" s="2"/>
      <c r="AG58" s="2"/>
      <c r="AH58" s="229" t="s">
        <v>78</v>
      </c>
      <c r="AI58" s="230"/>
      <c r="AJ58" s="230"/>
      <c r="AK58" s="230"/>
      <c r="AL58" s="230"/>
      <c r="AM58" s="230"/>
      <c r="AN58" s="230"/>
      <c r="AO58" s="231"/>
      <c r="AP58" s="2"/>
      <c r="AQ58" s="2"/>
      <c r="AR58" s="2"/>
      <c r="AS58" s="2"/>
      <c r="AT58" s="2"/>
      <c r="AU58" s="2"/>
      <c r="AV58" s="2"/>
    </row>
    <row r="59" spans="32:48" ht="30" customHeight="1" x14ac:dyDescent="0.25"/>
  </sheetData>
  <mergeCells count="117">
    <mergeCell ref="B39:L39"/>
    <mergeCell ref="B2:L2"/>
    <mergeCell ref="B3:L3"/>
    <mergeCell ref="AF1:AV1"/>
    <mergeCell ref="AF2:AF9"/>
    <mergeCell ref="AG3:AU3"/>
    <mergeCell ref="AV2:AV9"/>
    <mergeCell ref="B5:L5"/>
    <mergeCell ref="B6:L6"/>
    <mergeCell ref="B28:L28"/>
    <mergeCell ref="B29:L29"/>
    <mergeCell ref="B34:L34"/>
    <mergeCell ref="AJ4:AJ9"/>
    <mergeCell ref="AN4:AN9"/>
    <mergeCell ref="AR4:AR9"/>
    <mergeCell ref="AF10:AV10"/>
    <mergeCell ref="AF12:AV12"/>
    <mergeCell ref="AF13:AF20"/>
    <mergeCell ref="AG13:AU13"/>
    <mergeCell ref="AV13:AV20"/>
    <mergeCell ref="AG14:AU14"/>
    <mergeCell ref="AJ15:AJ20"/>
    <mergeCell ref="AN15:AN20"/>
    <mergeCell ref="AR15:AR20"/>
    <mergeCell ref="AF21:AV21"/>
    <mergeCell ref="AF23:AV23"/>
    <mergeCell ref="AF24:AF31"/>
    <mergeCell ref="AG24:AU24"/>
    <mergeCell ref="AV24:AV31"/>
    <mergeCell ref="AG25:AU25"/>
    <mergeCell ref="AJ26:AJ31"/>
    <mergeCell ref="AN26:AN31"/>
    <mergeCell ref="AR26:AR31"/>
    <mergeCell ref="AF32:AV32"/>
    <mergeCell ref="AF34:AV34"/>
    <mergeCell ref="AF35:AF42"/>
    <mergeCell ref="AG35:AU35"/>
    <mergeCell ref="AV35:AV42"/>
    <mergeCell ref="AG36:AU36"/>
    <mergeCell ref="AJ37:AJ42"/>
    <mergeCell ref="AN37:AN42"/>
    <mergeCell ref="AR37:AR42"/>
    <mergeCell ref="AP48:AQ48"/>
    <mergeCell ref="AR48:AS48"/>
    <mergeCell ref="AT48:AU48"/>
    <mergeCell ref="AH49:AO49"/>
    <mergeCell ref="AP49:AQ49"/>
    <mergeCell ref="AR49:AS49"/>
    <mergeCell ref="AT49:AU49"/>
    <mergeCell ref="AF43:AV43"/>
    <mergeCell ref="AF45:AV45"/>
    <mergeCell ref="AF46:AF56"/>
    <mergeCell ref="AG46:AU46"/>
    <mergeCell ref="AV46:AV55"/>
    <mergeCell ref="AH47:AO47"/>
    <mergeCell ref="AP47:AQ47"/>
    <mergeCell ref="AR47:AS47"/>
    <mergeCell ref="AT47:AU47"/>
    <mergeCell ref="AH48:AO48"/>
    <mergeCell ref="AR53:AS53"/>
    <mergeCell ref="AT53:AU53"/>
    <mergeCell ref="AH50:AO50"/>
    <mergeCell ref="AP50:AQ50"/>
    <mergeCell ref="AR50:AS50"/>
    <mergeCell ref="AT50:AU50"/>
    <mergeCell ref="AH51:AO51"/>
    <mergeCell ref="AP51:AQ51"/>
    <mergeCell ref="AR51:AS51"/>
    <mergeCell ref="AT51:AU51"/>
    <mergeCell ref="AG56:AV56"/>
    <mergeCell ref="AH58:AO58"/>
    <mergeCell ref="R6:W6"/>
    <mergeCell ref="P6:Q7"/>
    <mergeCell ref="X6:Z6"/>
    <mergeCell ref="P13:Q14"/>
    <mergeCell ref="R13:W13"/>
    <mergeCell ref="X13:Z13"/>
    <mergeCell ref="P20:Q21"/>
    <mergeCell ref="R20:W20"/>
    <mergeCell ref="AH54:AO54"/>
    <mergeCell ref="AP54:AQ54"/>
    <mergeCell ref="AR54:AS54"/>
    <mergeCell ref="AT54:AU54"/>
    <mergeCell ref="AH55:AO55"/>
    <mergeCell ref="AP55:AQ55"/>
    <mergeCell ref="AR55:AS55"/>
    <mergeCell ref="AT55:AU55"/>
    <mergeCell ref="AH52:AO52"/>
    <mergeCell ref="AP52:AQ52"/>
    <mergeCell ref="AR52:AS52"/>
    <mergeCell ref="AT52:AU52"/>
    <mergeCell ref="AH53:AO53"/>
    <mergeCell ref="AP53:AQ53"/>
    <mergeCell ref="R43:Y43"/>
    <mergeCell ref="A44:M44"/>
    <mergeCell ref="A2:A43"/>
    <mergeCell ref="M2:M43"/>
    <mergeCell ref="A1:M1"/>
    <mergeCell ref="R35:Y35"/>
    <mergeCell ref="R36:Y36"/>
    <mergeCell ref="R37:Y37"/>
    <mergeCell ref="R38:Y38"/>
    <mergeCell ref="R39:Y39"/>
    <mergeCell ref="R40:Y40"/>
    <mergeCell ref="R41:Y41"/>
    <mergeCell ref="R42:Y42"/>
    <mergeCell ref="X20:Z20"/>
    <mergeCell ref="P4:Z4"/>
    <mergeCell ref="P27:Q28"/>
    <mergeCell ref="R27:W27"/>
    <mergeCell ref="X27:Z27"/>
    <mergeCell ref="P34:Z34"/>
    <mergeCell ref="B41:L41"/>
    <mergeCell ref="B42:L42"/>
    <mergeCell ref="B4:L4"/>
    <mergeCell ref="B35:L35"/>
    <mergeCell ref="B38:L38"/>
  </mergeCells>
  <phoneticPr fontId="9" type="noConversion"/>
  <printOptions horizontalCentered="1" verticalCentered="1"/>
  <pageMargins left="0.19685039370078741" right="0.19685039370078741" top="0.19685039370078741" bottom="0.19685039370078741" header="0" footer="0"/>
  <pageSetup paperSize="9" scale="6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FED155-7D74-415E-BDF0-ED15AD38CE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GRUPOS</vt:lpstr>
      <vt:lpstr>TABELA_AVERAGE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Wander Lucas Vale da Silva</dc:creator>
  <cp:lastModifiedBy>Wander Lucas Vale da Silva</cp:lastModifiedBy>
  <cp:lastPrinted>2025-12-08T19:03:16Z</cp:lastPrinted>
  <dcterms:created xsi:type="dcterms:W3CDTF">2022-11-04T18:41:09Z</dcterms:created>
  <dcterms:modified xsi:type="dcterms:W3CDTF">2026-05-18T22:37:40Z</dcterms:modified>
</cp:coreProperties>
</file>