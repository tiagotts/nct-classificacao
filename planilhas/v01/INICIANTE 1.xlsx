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0"/>
  <workbookPr defaultThemeVersion="166925"/>
  <mc:AlternateContent xmlns:mc="http://schemas.openxmlformats.org/markup-compatibility/2006">
    <mc:Choice Requires="x15">
      <x15ac:absPath xmlns:x15ac="http://schemas.microsoft.com/office/spreadsheetml/2010/11/ac" url="/Users/tiagotts/Downloads/"/>
    </mc:Choice>
  </mc:AlternateContent>
  <xr:revisionPtr revIDLastSave="0" documentId="13_ncr:1_{C09E9746-4FCE-5245-9E4D-72E304CB622C}" xr6:coauthVersionLast="47" xr6:coauthVersionMax="47" xr10:uidLastSave="{00000000-0000-0000-0000-000000000000}"/>
  <bookViews>
    <workbookView xWindow="7120" yWindow="25540" windowWidth="20740" windowHeight="15020" activeTab="2" xr2:uid="{F3961328-0035-4217-99ED-6477153DAF09}"/>
  </bookViews>
  <sheets>
    <sheet name="REGULAMENTO" sheetId="21" r:id="rId1"/>
    <sheet name="GRUPOS" sheetId="9" r:id="rId2"/>
    <sheet name="TABELA FEM" sheetId="17" r:id="rId3"/>
    <sheet name="AVERAGE FEM" sheetId="11" r:id="rId4"/>
  </sheets>
  <definedNames>
    <definedName name="FromArray_1">_xlfn.ANCHORARRAY(#REF!)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9" l="1"/>
  <c r="K40" i="17"/>
  <c r="G40" i="17"/>
  <c r="K39" i="17"/>
  <c r="G39" i="17"/>
  <c r="K38" i="17"/>
  <c r="G38" i="17"/>
  <c r="K37" i="17"/>
  <c r="G37" i="17"/>
  <c r="H27" i="11" l="1"/>
  <c r="D27" i="11"/>
  <c r="C27" i="11"/>
  <c r="G36" i="11" l="1"/>
  <c r="L25" i="11"/>
  <c r="G25" i="11"/>
  <c r="O14" i="9" l="1"/>
  <c r="J46" i="11" l="1"/>
  <c r="P49" i="11"/>
  <c r="O49" i="11"/>
  <c r="P48" i="11"/>
  <c r="O48" i="11"/>
  <c r="P47" i="11"/>
  <c r="O47" i="11"/>
  <c r="L49" i="11"/>
  <c r="K49" i="11"/>
  <c r="L48" i="11"/>
  <c r="K48" i="11"/>
  <c r="L47" i="11"/>
  <c r="K47" i="11"/>
  <c r="H49" i="11"/>
  <c r="G49" i="11"/>
  <c r="H48" i="11"/>
  <c r="G48" i="11"/>
  <c r="H47" i="11"/>
  <c r="G47" i="11"/>
  <c r="D47" i="11"/>
  <c r="C47" i="11"/>
  <c r="P38" i="11"/>
  <c r="O38" i="11"/>
  <c r="P37" i="11"/>
  <c r="O37" i="11"/>
  <c r="P36" i="11"/>
  <c r="O36" i="11"/>
  <c r="L38" i="11"/>
  <c r="K38" i="11"/>
  <c r="L37" i="11"/>
  <c r="K37" i="11"/>
  <c r="L36" i="11"/>
  <c r="K36" i="11"/>
  <c r="H38" i="11"/>
  <c r="G38" i="11"/>
  <c r="H37" i="11"/>
  <c r="G37" i="11"/>
  <c r="H36" i="11"/>
  <c r="D38" i="11"/>
  <c r="C38" i="11"/>
  <c r="D37" i="11"/>
  <c r="C37" i="11"/>
  <c r="P27" i="11"/>
  <c r="O27" i="11"/>
  <c r="P26" i="11"/>
  <c r="O26" i="11"/>
  <c r="P25" i="11"/>
  <c r="O25" i="11"/>
  <c r="L27" i="11"/>
  <c r="K27" i="11"/>
  <c r="L26" i="11"/>
  <c r="K26" i="11"/>
  <c r="K25" i="11"/>
  <c r="G27" i="11"/>
  <c r="H26" i="11"/>
  <c r="G26" i="11"/>
  <c r="H25" i="11"/>
  <c r="D26" i="11"/>
  <c r="C26" i="11"/>
  <c r="D25" i="11"/>
  <c r="C25" i="11"/>
  <c r="C15" i="9"/>
  <c r="K23" i="17" s="1"/>
  <c r="G15" i="9"/>
  <c r="K24" i="17" s="1"/>
  <c r="K15" i="9"/>
  <c r="K13" i="17" s="1"/>
  <c r="O15" i="9"/>
  <c r="K34" i="17" s="1"/>
  <c r="K18" i="17"/>
  <c r="K14" i="9"/>
  <c r="G33" i="17" s="1"/>
  <c r="G14" i="9"/>
  <c r="K16" i="17" s="1"/>
  <c r="C14" i="9"/>
  <c r="G31" i="17" s="1"/>
  <c r="C13" i="9"/>
  <c r="G15" i="17" s="1"/>
  <c r="G13" i="9"/>
  <c r="K28" i="17" s="1"/>
  <c r="K13" i="9"/>
  <c r="G17" i="17" s="1"/>
  <c r="O13" i="9"/>
  <c r="K30" i="17" s="1"/>
  <c r="O12" i="9"/>
  <c r="G22" i="17" s="1"/>
  <c r="K12" i="9"/>
  <c r="G21" i="17" s="1"/>
  <c r="G12" i="17"/>
  <c r="C12" i="9"/>
  <c r="C28" i="11" l="1"/>
  <c r="G27" i="17"/>
  <c r="B13" i="11"/>
  <c r="K11" i="17"/>
  <c r="N46" i="11"/>
  <c r="J13" i="11"/>
  <c r="N24" i="11"/>
  <c r="J35" i="11"/>
  <c r="N13" i="11"/>
  <c r="N35" i="11"/>
  <c r="J24" i="11"/>
  <c r="F46" i="11"/>
  <c r="B46" i="11"/>
  <c r="F35" i="11"/>
  <c r="F24" i="11"/>
  <c r="F13" i="11"/>
  <c r="B35" i="11"/>
  <c r="B24" i="11"/>
  <c r="K12" i="17"/>
  <c r="K31" i="17"/>
  <c r="K32" i="17"/>
  <c r="K33" i="17"/>
  <c r="K25" i="17"/>
  <c r="K14" i="17"/>
  <c r="K26" i="17"/>
  <c r="K22" i="17"/>
  <c r="G34" i="17"/>
  <c r="K17" i="17"/>
  <c r="K21" i="17"/>
  <c r="K20" i="17"/>
  <c r="G32" i="17"/>
  <c r="K15" i="17"/>
  <c r="K19" i="17"/>
  <c r="G23" i="17"/>
  <c r="K27" i="17"/>
  <c r="G16" i="17"/>
  <c r="G24" i="17"/>
  <c r="G25" i="17"/>
  <c r="K29" i="17"/>
  <c r="G18" i="17"/>
  <c r="G26" i="17"/>
  <c r="G14" i="17"/>
  <c r="G30" i="17"/>
  <c r="G13" i="17"/>
  <c r="G29" i="17"/>
  <c r="G28" i="17"/>
  <c r="G20" i="17"/>
  <c r="G11" i="17"/>
  <c r="G19" i="17"/>
  <c r="D49" i="11"/>
  <c r="C49" i="11"/>
  <c r="D48" i="11"/>
  <c r="C48" i="11"/>
  <c r="D36" i="11"/>
  <c r="C36" i="11"/>
  <c r="P16" i="11"/>
  <c r="O16" i="11"/>
  <c r="P15" i="11"/>
  <c r="O15" i="11"/>
  <c r="P14" i="11"/>
  <c r="O14" i="11"/>
  <c r="L16" i="11"/>
  <c r="K16" i="11"/>
  <c r="L15" i="11"/>
  <c r="K15" i="11"/>
  <c r="L14" i="11"/>
  <c r="K14" i="11"/>
  <c r="G16" i="11"/>
  <c r="H15" i="11"/>
  <c r="G15" i="11"/>
  <c r="H14" i="11"/>
  <c r="G14" i="11"/>
  <c r="C16" i="11"/>
  <c r="D15" i="11"/>
  <c r="C15" i="11"/>
  <c r="D14" i="11"/>
  <c r="C14" i="11"/>
  <c r="L17" i="11" l="1"/>
  <c r="K17" i="11"/>
  <c r="O17" i="11" l="1"/>
  <c r="P17" i="11"/>
  <c r="H16" i="11"/>
  <c r="H17" i="11" s="1"/>
  <c r="D16" i="11"/>
  <c r="D17" i="11" s="1"/>
  <c r="O50" i="11" l="1"/>
  <c r="P50" i="11"/>
  <c r="L39" i="11"/>
  <c r="L50" i="11"/>
  <c r="K50" i="11"/>
  <c r="H50" i="11"/>
  <c r="G50" i="11"/>
  <c r="D50" i="11"/>
  <c r="C50" i="11"/>
  <c r="K39" i="11"/>
  <c r="P39" i="11"/>
  <c r="O39" i="11"/>
  <c r="H39" i="11"/>
  <c r="G39" i="11"/>
  <c r="D39" i="11"/>
  <c r="C39" i="11"/>
  <c r="O28" i="11"/>
  <c r="P28" i="11"/>
  <c r="L28" i="11"/>
  <c r="K28" i="11"/>
  <c r="H28" i="11"/>
  <c r="G28" i="11"/>
  <c r="D28" i="11"/>
  <c r="G17" i="11"/>
  <c r="C17" i="11"/>
  <c r="P51" i="11" l="1"/>
  <c r="L40" i="11"/>
  <c r="H40" i="11"/>
  <c r="P40" i="11"/>
  <c r="L51" i="11"/>
  <c r="D51" i="11"/>
  <c r="H51" i="11"/>
  <c r="P18" i="11"/>
  <c r="D40" i="11"/>
  <c r="P29" i="11"/>
  <c r="L29" i="11"/>
  <c r="H29" i="11"/>
  <c r="D29" i="11"/>
  <c r="L18" i="11"/>
  <c r="D18" i="11"/>
  <c r="H18" i="11"/>
</calcChain>
</file>

<file path=xl/sharedStrings.xml><?xml version="1.0" encoding="utf-8"?>
<sst xmlns="http://schemas.openxmlformats.org/spreadsheetml/2006/main" count="459" uniqueCount="192">
  <si>
    <t>TOTAL</t>
  </si>
  <si>
    <t>1º</t>
  </si>
  <si>
    <t>4º</t>
  </si>
  <si>
    <t>2º</t>
  </si>
  <si>
    <t>3º</t>
  </si>
  <si>
    <t>5º</t>
  </si>
  <si>
    <t>6º</t>
  </si>
  <si>
    <t>7º</t>
  </si>
  <si>
    <t>8º</t>
  </si>
  <si>
    <t>9º</t>
  </si>
  <si>
    <t>10º</t>
  </si>
  <si>
    <t>11º</t>
  </si>
  <si>
    <t>12º</t>
  </si>
  <si>
    <t>13º</t>
  </si>
  <si>
    <t>14º</t>
  </si>
  <si>
    <t>Jogo</t>
  </si>
  <si>
    <t>Hora</t>
  </si>
  <si>
    <t>Quadra</t>
  </si>
  <si>
    <t>Equipe 1</t>
  </si>
  <si>
    <t>Equipe 2</t>
  </si>
  <si>
    <t>PRO</t>
  </si>
  <si>
    <t>CONTRA</t>
  </si>
  <si>
    <t>A</t>
  </si>
  <si>
    <t>MEDIA</t>
  </si>
  <si>
    <t>B</t>
  </si>
  <si>
    <t>C</t>
  </si>
  <si>
    <t>X</t>
  </si>
  <si>
    <t>AVERAGE</t>
  </si>
  <si>
    <t>1ª FASE</t>
  </si>
  <si>
    <t>DISPUTA 3º LUGAR</t>
  </si>
  <si>
    <t>FINAL</t>
  </si>
  <si>
    <t>DUPLA</t>
  </si>
  <si>
    <t>SEMIFINAIS</t>
  </si>
  <si>
    <t>15º</t>
  </si>
  <si>
    <t>16º</t>
  </si>
  <si>
    <t>Dupla</t>
  </si>
  <si>
    <t>TABELA</t>
  </si>
  <si>
    <t>D</t>
  </si>
  <si>
    <t>CLASSIFICADOS</t>
  </si>
  <si>
    <t>POSIÇÃO</t>
  </si>
  <si>
    <t>item</t>
  </si>
  <si>
    <t>Título</t>
  </si>
  <si>
    <t>Descrição</t>
  </si>
  <si>
    <t>Observação</t>
  </si>
  <si>
    <t>VITÓRIAS</t>
  </si>
  <si>
    <t>QF</t>
  </si>
  <si>
    <t>SF</t>
  </si>
  <si>
    <t>QUARTAS DE FINAL</t>
  </si>
  <si>
    <t>RK</t>
  </si>
  <si>
    <t>CÓD</t>
  </si>
  <si>
    <t>A1</t>
  </si>
  <si>
    <t>A2</t>
  </si>
  <si>
    <t>A3</t>
  </si>
  <si>
    <t>A4</t>
  </si>
  <si>
    <t>B2</t>
  </si>
  <si>
    <t>C3</t>
  </si>
  <si>
    <t>D4</t>
  </si>
  <si>
    <t>B4</t>
  </si>
  <si>
    <t>C4</t>
  </si>
  <si>
    <t>B1</t>
  </si>
  <si>
    <t>C1</t>
  </si>
  <si>
    <t>D1</t>
  </si>
  <si>
    <t>B3</t>
  </si>
  <si>
    <t>D3</t>
  </si>
  <si>
    <t>C2</t>
  </si>
  <si>
    <t>D2</t>
  </si>
  <si>
    <t>Código</t>
  </si>
  <si>
    <t>V J 25</t>
  </si>
  <si>
    <t>V J 27</t>
  </si>
  <si>
    <t>V J 26</t>
  </si>
  <si>
    <t>V J 28</t>
  </si>
  <si>
    <t>P J 29</t>
  </si>
  <si>
    <t>P J 30</t>
  </si>
  <si>
    <t>V J 29</t>
  </si>
  <si>
    <t>V J 30</t>
  </si>
  <si>
    <t>Grupo</t>
  </si>
  <si>
    <t>CLASSIFICAÇÃO NO GRUPO</t>
  </si>
  <si>
    <t>GRUPO A</t>
  </si>
  <si>
    <t>GRUPO B</t>
  </si>
  <si>
    <t>GRUPO C</t>
  </si>
  <si>
    <t>GRUPO D</t>
  </si>
  <si>
    <t>REGULAMENTO</t>
  </si>
  <si>
    <t>Ranking de entrada</t>
  </si>
  <si>
    <t>Distribuição dos grupos</t>
  </si>
  <si>
    <t>Quantidade de jogos</t>
  </si>
  <si>
    <t>Quantidade de sets*</t>
  </si>
  <si>
    <r>
      <t xml:space="preserve">1 </t>
    </r>
    <r>
      <rPr>
        <i/>
        <sz val="13"/>
        <color theme="1"/>
        <rFont val="Aptos"/>
        <family val="2"/>
      </rPr>
      <t xml:space="preserve">Set </t>
    </r>
    <r>
      <rPr>
        <sz val="13"/>
        <color theme="1"/>
        <rFont val="Aptos"/>
        <family val="2"/>
      </rPr>
      <t>de 21 pontos.</t>
    </r>
  </si>
  <si>
    <t>Sistema de disputa da 1ª fase</t>
  </si>
  <si>
    <t xml:space="preserve">Todos contra todos no grupo. </t>
  </si>
  <si>
    <t>Classificação para as quartas-de-final</t>
  </si>
  <si>
    <t>Distribuição de confrontos nas quartas-de-final</t>
  </si>
  <si>
    <t>1º: nº de vitórias.</t>
  </si>
  <si>
    <t>2º: ponto average.</t>
  </si>
  <si>
    <t>3º: sorteio.</t>
  </si>
  <si>
    <r>
      <t xml:space="preserve">Cruzamentos:  </t>
    </r>
    <r>
      <rPr>
        <b/>
        <sz val="13"/>
        <color rgb="FFFF0000"/>
        <rFont val="Aptos"/>
        <family val="2"/>
      </rPr>
      <t>(A: 1º X 8º) - (B: 4º X 5º)</t>
    </r>
    <r>
      <rPr>
        <sz val="13"/>
        <color theme="1"/>
        <rFont val="Aptos"/>
        <family val="2"/>
      </rPr>
      <t xml:space="preserve"> / </t>
    </r>
    <r>
      <rPr>
        <b/>
        <sz val="13"/>
        <color rgb="FF0070C0"/>
        <rFont val="Aptos"/>
        <family val="2"/>
      </rPr>
      <t>(C: 2º X 7º) - (D: 3º X 6º)</t>
    </r>
  </si>
  <si>
    <t>Pontuação em Wx0</t>
  </si>
  <si>
    <t>As partidas resolvidas pela não apresentação de uma dupla resultará na vitória da dupla que se apresentou, contudo, não haverá saldo de pontos para nenhuma das duplas envolvidas. No caso de duplo W x 0, as duas duplas serão consideradas derrotadas e, consequentemente, sem saldo de pontos.</t>
  </si>
  <si>
    <t>Pontuação em partida abandonada por desistência</t>
  </si>
  <si>
    <t>As partidas em que uma dupla desistir de continuar a partida, terá o placar de 21 (ou diferença de 2 pontos) para a equipe que não desistiu. A dupla que desistiu permanece com a pontuação do momento da desistência.</t>
  </si>
  <si>
    <t>Semifinais</t>
  </si>
  <si>
    <r>
      <t xml:space="preserve">Cruzamentos:  </t>
    </r>
    <r>
      <rPr>
        <b/>
        <sz val="13"/>
        <color rgb="FFFF0000"/>
        <rFont val="Aptos"/>
        <family val="2"/>
      </rPr>
      <t>(A: 1º X 8º) versus (B: 4º X 5º)</t>
    </r>
    <r>
      <rPr>
        <sz val="13"/>
        <color theme="1"/>
        <rFont val="Aptos"/>
        <family val="2"/>
      </rPr>
      <t xml:space="preserve"> / </t>
    </r>
    <r>
      <rPr>
        <b/>
        <sz val="13"/>
        <color rgb="FF0070C0"/>
        <rFont val="Aptos"/>
        <family val="2"/>
      </rPr>
      <t>(C: 2º X 7º) versus (D: 3º X 6º)</t>
    </r>
    <r>
      <rPr>
        <sz val="13"/>
        <color theme="1"/>
        <rFont val="Aptos"/>
        <family val="2"/>
      </rPr>
      <t>.</t>
    </r>
  </si>
  <si>
    <t>Final 1: disputa de 3º lugar</t>
  </si>
  <si>
    <t>Final 2: disputa de 1º lugar</t>
  </si>
  <si>
    <t>Penalidades</t>
  </si>
  <si>
    <t>Suspensão de partidas</t>
  </si>
  <si>
    <t>As partidas que precisarem ser suspensas por motivos de mau tempo, falta de iluminação e assemelhados, retornará com o placar da interrupção, caso isso ocorra em até 4 horas. Após isso, a partida recomeçará com o placar de 0x0.</t>
  </si>
  <si>
    <t>Uniformização</t>
  </si>
  <si>
    <t>Obrigatória.</t>
  </si>
  <si>
    <t>Bermudas da mesma cor.</t>
  </si>
  <si>
    <t>Preferencialmente.</t>
  </si>
  <si>
    <t>Horário de início</t>
  </si>
  <si>
    <t>Local da competição</t>
  </si>
  <si>
    <t>32 partidas.</t>
  </si>
  <si>
    <t>3 jogos por equipe.</t>
  </si>
  <si>
    <t>Classificam-se os dois primeiros colocados de cada grupo.</t>
  </si>
  <si>
    <t>Classificação geral de 1º a 8º lugares, observando os seguintes critérios, INDEPENDENTE DA POSIÇÃO DE CLASSIFICAÇÃO NO GRUPO.</t>
  </si>
  <si>
    <t>F1</t>
  </si>
  <si>
    <t>F2</t>
  </si>
  <si>
    <t>3º: confronto direto.</t>
  </si>
  <si>
    <t>Quantidade de duplas</t>
  </si>
  <si>
    <t>16 duplas (32 atletas).</t>
  </si>
  <si>
    <t>TORNEIO INTEGRAÇÃO ESPORTIVA</t>
  </si>
  <si>
    <t>Fitvôlei - Bloq - JR Integração - 2025</t>
  </si>
  <si>
    <t>VÔLEI DE PRAIA</t>
  </si>
  <si>
    <t>24/10/2025</t>
  </si>
  <si>
    <t>sexta-feira</t>
  </si>
  <si>
    <t>INICIANTE 1</t>
  </si>
  <si>
    <t>Sorteio</t>
  </si>
  <si>
    <t>Modelo de serpentina seguindo ranking definido por sorteio.</t>
  </si>
  <si>
    <t>1 Set de 21 pontos.</t>
  </si>
  <si>
    <t>A atleta que agir com desrespeito e violência em relação à arbitragem, adversários, parceiro e qualquer pessoa presente,  poderá ser suspenso ou banido do Torneio por deliberação da Comissão Organizadora.</t>
  </si>
  <si>
    <t>Camiseta oficial do Torneio fornecida pela Comissão Organizadora</t>
  </si>
  <si>
    <t>SMPW Qd 05 - Cj 09 - Lt 02
Park Way / Águas Claras</t>
  </si>
  <si>
    <t>18h em DUAS quadra.</t>
  </si>
  <si>
    <t>24 de outubro de 2025 - sexta-feira</t>
  </si>
  <si>
    <t>RANKING DEFINIDO POR SORTEIO</t>
  </si>
  <si>
    <t>⚠️</t>
  </si>
  <si>
    <t xml:space="preserve"> DIGITAR NAS CÉLULAS LARANJA - Vai alimentar as abas TABELA e AVERAGE</t>
  </si>
  <si>
    <t>1º Colocado Geral</t>
  </si>
  <si>
    <t>2º Colocado Geral</t>
  </si>
  <si>
    <t>3º Colocado Geral</t>
  </si>
  <si>
    <t>4º Colocado Geral</t>
  </si>
  <si>
    <t>5º Colocado Geral</t>
  </si>
  <si>
    <t>6º Colocado Geral</t>
  </si>
  <si>
    <t>7º Colocado Geral</t>
  </si>
  <si>
    <t>8º Colocado Geral</t>
  </si>
  <si>
    <t>Vencedor Jogo 25</t>
  </si>
  <si>
    <t>Vencedor Jogo 26</t>
  </si>
  <si>
    <t>Vencedor Jogo 27</t>
  </si>
  <si>
    <t>Vencedor Jogo 28</t>
  </si>
  <si>
    <t>Perdedor Jogo 29</t>
  </si>
  <si>
    <t>Perdedor Jogo 30</t>
  </si>
  <si>
    <t>Vencedor Jogo 29</t>
  </si>
  <si>
    <t>Vencedor Jogo 30</t>
  </si>
  <si>
    <t>18:00</t>
  </si>
  <si>
    <t>18:20</t>
  </si>
  <si>
    <t>18:40</t>
  </si>
  <si>
    <t>19:00</t>
  </si>
  <si>
    <t>19:20</t>
  </si>
  <si>
    <t>19:40</t>
  </si>
  <si>
    <t>20:00</t>
  </si>
  <si>
    <t>20:20</t>
  </si>
  <si>
    <t>20:40</t>
  </si>
  <si>
    <t>21:00</t>
  </si>
  <si>
    <t>21:20</t>
  </si>
  <si>
    <t>21:40</t>
  </si>
  <si>
    <t>22:00</t>
  </si>
  <si>
    <t>22:20</t>
  </si>
  <si>
    <t>22:40</t>
  </si>
  <si>
    <t>23:00</t>
  </si>
  <si>
    <t>DIGITAR NAS CÉLULAS LARANJA - Vai direto pra tabela</t>
  </si>
  <si>
    <t>GRUPOS</t>
  </si>
  <si>
    <t>Distribuição pelo ranking no modo serpentina</t>
  </si>
  <si>
    <t>&lt;= Não digitar aqui.</t>
  </si>
  <si>
    <t>Digitar na aba Average.</t>
  </si>
  <si>
    <t>Digitar nas células Laranja</t>
  </si>
  <si>
    <t>ANA LUIZA/KAIO</t>
  </si>
  <si>
    <t>ANA C./VITOR BICHARA</t>
  </si>
  <si>
    <t>CRYS/LEO</t>
  </si>
  <si>
    <t>RAQUEL/ELIAS</t>
  </si>
  <si>
    <t>BÁRBARA/JOÃO</t>
  </si>
  <si>
    <t>MARCOS/ANTÔNIO</t>
  </si>
  <si>
    <t>THIAGO/DANILO</t>
  </si>
  <si>
    <t>JOSÉ/SARA</t>
  </si>
  <si>
    <t>MAYARA/DIVINO</t>
  </si>
  <si>
    <t>LARISSA/JÚLIA</t>
  </si>
  <si>
    <t>LUCAS/GABRIEL L.</t>
  </si>
  <si>
    <t>CLARINHA/ARTHUR</t>
  </si>
  <si>
    <t>PRISCILA/RAFA</t>
  </si>
  <si>
    <t>VINÍCIUS/PATRÍCIA</t>
  </si>
  <si>
    <t>ARTEMIS/BETO</t>
  </si>
  <si>
    <t>CYNTIA/SALVADOR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</si>
</sst>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39" x14ac:knownFonts="1">
    <font>
      <sz val="11"/>
      <color theme="1"/>
      <name val="Calibri"/>
      <family val="2"/>
      <scheme val="minor"/>
    </font>
    <font>
      <sz val="11"/>
      <color theme="1"/>
      <name val="Calibri"/>
      <family val="2"/>
      <scheme val="minor"/>
    </font>
    <font>
      <sz val="8"/>
      <name val="Calibri"/>
      <family val="2"/>
      <scheme val="minor"/>
    </font>
    <font>
      <b/>
      <sz val="10"/>
      <color theme="1"/>
      <name val="Calibri"/>
      <family val="2"/>
      <scheme val="minor"/>
    </font>
    <font>
      <b/>
      <sz val="12"/>
      <color rgb="FF000000"/>
      <name val="Arial"/>
      <family val="2"/>
    </font>
    <font>
      <sz val="12"/>
      <color theme="1"/>
      <name val="Calibri"/>
      <family val="2"/>
      <scheme val="minor"/>
    </font>
    <font>
      <b/>
      <sz val="11"/>
      <color theme="1"/>
      <name val="Calibri"/>
      <family val="2"/>
      <scheme val="minor"/>
    </font>
    <font>
      <b/>
      <sz val="11"/>
      <color rgb="FFFFFF00"/>
      <name val="Calibri"/>
      <family val="2"/>
      <scheme val="minor"/>
    </font>
    <font>
      <b/>
      <sz val="11"/>
      <color theme="1"/>
      <name val="Arial"/>
      <family val="2"/>
    </font>
    <font>
      <b/>
      <sz val="12"/>
      <color theme="0"/>
      <name val="Arial"/>
      <family val="2"/>
    </font>
    <font>
      <b/>
      <sz val="12"/>
      <color theme="1"/>
      <name val="Calibri"/>
      <family val="2"/>
      <scheme val="minor"/>
    </font>
    <font>
      <b/>
      <sz val="14"/>
      <color theme="1"/>
      <name val="Calibri"/>
      <family val="2"/>
      <scheme val="minor"/>
    </font>
    <font>
      <sz val="12"/>
      <color rgb="FF000000"/>
      <name val="Calibri"/>
      <family val="2"/>
      <scheme val="minor"/>
    </font>
    <font>
      <b/>
      <sz val="12"/>
      <color rgb="FFFF0000"/>
      <name val="Calibri"/>
      <family val="2"/>
      <scheme val="minor"/>
    </font>
    <font>
      <b/>
      <sz val="14"/>
      <name val="Calibri"/>
      <family val="2"/>
      <scheme val="minor"/>
    </font>
    <font>
      <b/>
      <sz val="18"/>
      <name val="Calibri"/>
      <family val="2"/>
      <scheme val="minor"/>
    </font>
    <font>
      <b/>
      <sz val="12"/>
      <color theme="1"/>
      <name val="Arial"/>
      <family val="2"/>
    </font>
    <font>
      <b/>
      <sz val="22"/>
      <name val="Aptos"/>
      <family val="2"/>
    </font>
    <font>
      <b/>
      <sz val="18"/>
      <color theme="1"/>
      <name val="Aptos"/>
      <family val="2"/>
    </font>
    <font>
      <b/>
      <sz val="14"/>
      <color theme="1"/>
      <name val="Aptos"/>
      <family val="2"/>
    </font>
    <font>
      <sz val="13"/>
      <color theme="1"/>
      <name val="Aptos"/>
      <family val="2"/>
    </font>
    <font>
      <b/>
      <sz val="13"/>
      <color theme="1"/>
      <name val="Aptos"/>
      <family val="2"/>
    </font>
    <font>
      <i/>
      <sz val="13"/>
      <color theme="1"/>
      <name val="Aptos"/>
      <family val="2"/>
    </font>
    <font>
      <b/>
      <sz val="13"/>
      <color rgb="FFFF0000"/>
      <name val="Aptos"/>
      <family val="2"/>
    </font>
    <font>
      <b/>
      <sz val="13"/>
      <color rgb="FF0070C0"/>
      <name val="Aptos"/>
      <family val="2"/>
    </font>
    <font>
      <b/>
      <sz val="16"/>
      <color theme="1"/>
      <name val="Aptos"/>
      <family val="2"/>
    </font>
    <font>
      <b/>
      <sz val="26"/>
      <color theme="0"/>
      <name val="Aptos"/>
      <family val="2"/>
    </font>
    <font>
      <b/>
      <sz val="24"/>
      <name val="Calibri"/>
      <family val="2"/>
      <scheme val="minor"/>
    </font>
    <font>
      <b/>
      <sz val="22"/>
      <color theme="1"/>
      <name val="Calibri"/>
      <family val="2"/>
      <scheme val="minor"/>
    </font>
    <font>
      <b/>
      <sz val="24"/>
      <color theme="1"/>
      <name val="Calibri"/>
      <family val="2"/>
      <scheme val="minor"/>
    </font>
    <font>
      <b/>
      <sz val="24"/>
      <color theme="1"/>
      <name val="Aptos"/>
      <family val="2"/>
    </font>
    <font>
      <sz val="14"/>
      <color theme="1"/>
      <name val="Aptos"/>
      <family val="2"/>
    </font>
    <font>
      <b/>
      <sz val="26"/>
      <color theme="0"/>
      <name val="Calibri"/>
      <family val="2"/>
      <scheme val="minor"/>
    </font>
    <font>
      <b/>
      <sz val="24"/>
      <color theme="0"/>
      <name val="Calibri"/>
      <family val="2"/>
      <scheme val="minor"/>
    </font>
    <font>
      <b/>
      <sz val="22"/>
      <color theme="0"/>
      <name val="Calibri"/>
      <family val="2"/>
      <scheme val="minor"/>
    </font>
    <font>
      <b/>
      <sz val="20"/>
      <color theme="0"/>
      <name val="Calibri"/>
      <family val="2"/>
      <scheme val="minor"/>
    </font>
    <font>
      <b/>
      <sz val="16"/>
      <color theme="1"/>
      <name val="Calibri"/>
      <family val="2"/>
      <scheme val="minor"/>
    </font>
    <font>
      <b/>
      <i/>
      <sz val="11"/>
      <color theme="1"/>
      <name val="Calibri"/>
      <family val="2"/>
      <scheme val="minor"/>
    </font>
    <font>
      <b/>
      <sz val="13"/>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64"/>
      </patternFill>
    </fill>
    <fill>
      <patternFill patternType="solid">
        <fgColor theme="2" tint="-9.9978637043366805E-2"/>
        <bgColor indexed="64"/>
      </patternFill>
    </fill>
    <fill>
      <patternFill patternType="solid">
        <fgColor rgb="FFFFCCFF"/>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000000"/>
        <bgColor indexed="64"/>
      </patternFill>
    </fill>
    <fill>
      <patternFill patternType="solid">
        <fgColor rgb="FFFFC000"/>
        <bgColor indexed="64"/>
      </patternFill>
    </fill>
    <fill>
      <patternFill patternType="solid">
        <fgColor rgb="FF000099"/>
        <bgColor indexed="64"/>
      </patternFill>
    </fill>
  </fills>
  <borders count="63">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43" fontId="1" fillId="0" borderId="0" applyFont="0" applyFill="0" applyBorder="0" applyAlignment="0" applyProtection="0"/>
  </cellStyleXfs>
  <cellXfs count="357">
    <xf numFmtId="0" fontId="0" fillId="0" borderId="0" xfId="0"/>
    <xf numFmtId="0" fontId="0" fillId="0" borderId="0" xfId="0" applyAlignment="1">
      <alignment horizontal="center"/>
    </xf>
    <xf numFmtId="0" fontId="0" fillId="4" borderId="0" xfId="0" applyFill="1"/>
    <xf numFmtId="0" fontId="0" fillId="4" borderId="17" xfId="0" applyFill="1" applyBorder="1" applyAlignment="1">
      <alignment horizontal="center" vertical="center"/>
    </xf>
    <xf numFmtId="0" fontId="0" fillId="4" borderId="13" xfId="0" applyFill="1" applyBorder="1" applyAlignment="1">
      <alignment horizontal="center" vertical="center"/>
    </xf>
    <xf numFmtId="0" fontId="0" fillId="4" borderId="18" xfId="0" applyFill="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2" borderId="21" xfId="0" applyFill="1" applyBorder="1" applyAlignment="1">
      <alignment horizontal="center" vertical="center"/>
    </xf>
    <xf numFmtId="0" fontId="0" fillId="4" borderId="16" xfId="0" applyFill="1" applyBorder="1" applyAlignment="1">
      <alignment horizontal="center" vertical="center"/>
    </xf>
    <xf numFmtId="49" fontId="4" fillId="4" borderId="0" xfId="0" applyNumberFormat="1" applyFont="1" applyFill="1" applyAlignment="1">
      <alignment vertical="center"/>
    </xf>
    <xf numFmtId="0" fontId="11" fillId="4" borderId="0" xfId="0" applyFont="1" applyFill="1" applyAlignment="1">
      <alignment horizontal="center" vertical="center"/>
    </xf>
    <xf numFmtId="0" fontId="0" fillId="7" borderId="21" xfId="0" applyFill="1" applyBorder="1" applyAlignment="1">
      <alignment horizontal="center" vertical="center"/>
    </xf>
    <xf numFmtId="0" fontId="0" fillId="3" borderId="21" xfId="0" applyFill="1" applyBorder="1" applyAlignment="1">
      <alignment horizontal="center" vertical="center"/>
    </xf>
    <xf numFmtId="0" fontId="0" fillId="5" borderId="21" xfId="0" applyFill="1" applyBorder="1" applyAlignment="1">
      <alignment horizontal="center" vertical="center"/>
    </xf>
    <xf numFmtId="49" fontId="12" fillId="0" borderId="13" xfId="0" applyNumberFormat="1" applyFont="1" applyBorder="1" applyAlignment="1">
      <alignment horizontal="center" vertical="center"/>
    </xf>
    <xf numFmtId="0" fontId="5" fillId="4" borderId="13" xfId="0" applyFont="1" applyFill="1" applyBorder="1" applyAlignment="1">
      <alignment horizontal="center" vertical="center"/>
    </xf>
    <xf numFmtId="49" fontId="12" fillId="4" borderId="13" xfId="0" applyNumberFormat="1" applyFont="1" applyFill="1" applyBorder="1" applyAlignment="1">
      <alignment horizontal="center" vertical="center"/>
    </xf>
    <xf numFmtId="1" fontId="12" fillId="0" borderId="17" xfId="0" applyNumberFormat="1" applyFont="1" applyBorder="1" applyAlignment="1">
      <alignment horizontal="center" vertical="center"/>
    </xf>
    <xf numFmtId="0" fontId="5" fillId="4" borderId="2" xfId="0" applyFont="1" applyFill="1" applyBorder="1" applyAlignment="1">
      <alignment horizontal="center" vertical="center"/>
    </xf>
    <xf numFmtId="1" fontId="12" fillId="4" borderId="17" xfId="0" applyNumberFormat="1" applyFont="1" applyFill="1" applyBorder="1" applyAlignment="1">
      <alignment horizontal="center" vertical="center"/>
    </xf>
    <xf numFmtId="1" fontId="12" fillId="4" borderId="19" xfId="0" applyNumberFormat="1" applyFont="1" applyFill="1" applyBorder="1" applyAlignment="1">
      <alignment horizontal="center" vertical="center"/>
    </xf>
    <xf numFmtId="49" fontId="12" fillId="4" borderId="20" xfId="0" applyNumberFormat="1" applyFont="1" applyFill="1" applyBorder="1" applyAlignment="1">
      <alignment horizontal="center" vertical="center"/>
    </xf>
    <xf numFmtId="0" fontId="5" fillId="4" borderId="20" xfId="0" applyFont="1" applyFill="1" applyBorder="1" applyAlignment="1">
      <alignment horizontal="center" vertical="center"/>
    </xf>
    <xf numFmtId="49" fontId="12" fillId="0" borderId="2" xfId="0" applyNumberFormat="1" applyFont="1" applyBorder="1" applyAlignment="1">
      <alignment horizontal="center" vertical="center"/>
    </xf>
    <xf numFmtId="1" fontId="12" fillId="0" borderId="1" xfId="0" applyNumberFormat="1" applyFont="1" applyBorder="1" applyAlignment="1">
      <alignment horizontal="center" vertical="center"/>
    </xf>
    <xf numFmtId="1" fontId="12" fillId="0" borderId="14" xfId="0" applyNumberFormat="1" applyFont="1" applyBorder="1" applyAlignment="1">
      <alignment horizontal="center" vertical="center"/>
    </xf>
    <xf numFmtId="49" fontId="12" fillId="0" borderId="15" xfId="0" applyNumberFormat="1" applyFont="1" applyBorder="1" applyAlignment="1">
      <alignment horizontal="center" vertical="center"/>
    </xf>
    <xf numFmtId="0" fontId="5" fillId="4" borderId="15" xfId="0" applyFont="1" applyFill="1" applyBorder="1" applyAlignment="1">
      <alignment horizontal="center" vertical="center"/>
    </xf>
    <xf numFmtId="1" fontId="12" fillId="0" borderId="19" xfId="0" applyNumberFormat="1" applyFont="1" applyBorder="1" applyAlignment="1">
      <alignment horizontal="center" vertical="center"/>
    </xf>
    <xf numFmtId="49" fontId="12" fillId="0" borderId="20" xfId="0" applyNumberFormat="1" applyFont="1" applyBorder="1" applyAlignment="1">
      <alignment horizontal="center" vertical="center"/>
    </xf>
    <xf numFmtId="0" fontId="0" fillId="0" borderId="14" xfId="0" applyBorder="1" applyAlignment="1">
      <alignment horizontal="center" vertical="center"/>
    </xf>
    <xf numFmtId="0" fontId="5" fillId="4" borderId="32" xfId="0" applyFont="1" applyFill="1" applyBorder="1" applyAlignment="1">
      <alignment horizontal="center" vertical="center"/>
    </xf>
    <xf numFmtId="0" fontId="5" fillId="4" borderId="28" xfId="0" applyFont="1" applyFill="1" applyBorder="1" applyAlignment="1">
      <alignment horizontal="center" vertical="center"/>
    </xf>
    <xf numFmtId="1" fontId="12" fillId="4" borderId="14" xfId="0" applyNumberFormat="1" applyFont="1" applyFill="1" applyBorder="1" applyAlignment="1">
      <alignment horizontal="center" vertical="center"/>
    </xf>
    <xf numFmtId="1" fontId="12" fillId="0" borderId="29" xfId="0" applyNumberFormat="1" applyFont="1" applyBorder="1" applyAlignment="1">
      <alignment horizontal="center" vertical="center"/>
    </xf>
    <xf numFmtId="1" fontId="12" fillId="4" borderId="33" xfId="0" applyNumberFormat="1" applyFont="1" applyFill="1" applyBorder="1" applyAlignment="1">
      <alignment horizontal="center" vertical="center"/>
    </xf>
    <xf numFmtId="0" fontId="0" fillId="4" borderId="29" xfId="0" applyFill="1" applyBorder="1" applyAlignment="1">
      <alignment horizontal="center" vertical="center"/>
    </xf>
    <xf numFmtId="1" fontId="12" fillId="4" borderId="42" xfId="0" applyNumberFormat="1" applyFont="1" applyFill="1" applyBorder="1" applyAlignment="1">
      <alignment horizontal="center" vertical="center"/>
    </xf>
    <xf numFmtId="1" fontId="12" fillId="0" borderId="42" xfId="0" applyNumberFormat="1" applyFont="1" applyBorder="1" applyAlignment="1">
      <alignment horizontal="center" vertical="center"/>
    </xf>
    <xf numFmtId="1" fontId="12" fillId="4" borderId="43" xfId="0" applyNumberFormat="1" applyFont="1" applyFill="1" applyBorder="1" applyAlignment="1">
      <alignment horizontal="center" vertical="center"/>
    </xf>
    <xf numFmtId="0" fontId="6" fillId="6" borderId="36" xfId="0" applyFont="1" applyFill="1" applyBorder="1" applyAlignment="1">
      <alignment horizontal="center" vertical="center"/>
    </xf>
    <xf numFmtId="0" fontId="10" fillId="6" borderId="14" xfId="0" applyFont="1" applyFill="1" applyBorder="1" applyAlignment="1">
      <alignment horizontal="center" vertical="center"/>
    </xf>
    <xf numFmtId="0" fontId="10" fillId="6" borderId="16" xfId="0" applyFont="1" applyFill="1" applyBorder="1" applyAlignment="1">
      <alignment horizontal="center" vertical="center"/>
    </xf>
    <xf numFmtId="0" fontId="5" fillId="4" borderId="17" xfId="0" applyFont="1" applyFill="1" applyBorder="1" applyAlignment="1">
      <alignment horizontal="center" vertical="center"/>
    </xf>
    <xf numFmtId="49" fontId="10" fillId="4" borderId="18" xfId="0" applyNumberFormat="1" applyFont="1" applyFill="1" applyBorder="1" applyAlignment="1">
      <alignment horizontal="left" vertical="center"/>
    </xf>
    <xf numFmtId="0" fontId="5" fillId="4" borderId="19" xfId="0" applyFont="1" applyFill="1" applyBorder="1" applyAlignment="1">
      <alignment horizontal="center" vertical="center"/>
    </xf>
    <xf numFmtId="49" fontId="10" fillId="4" borderId="21" xfId="0" applyNumberFormat="1" applyFont="1" applyFill="1" applyBorder="1" applyAlignment="1">
      <alignment horizontal="left" vertical="center"/>
    </xf>
    <xf numFmtId="0" fontId="5" fillId="0" borderId="17" xfId="0" applyFont="1" applyBorder="1" applyAlignment="1">
      <alignment horizontal="center" vertical="center"/>
    </xf>
    <xf numFmtId="1" fontId="12" fillId="0" borderId="48" xfId="0" applyNumberFormat="1" applyFont="1" applyBorder="1" applyAlignment="1">
      <alignment horizontal="center" vertical="center"/>
    </xf>
    <xf numFmtId="49" fontId="10" fillId="4" borderId="13" xfId="0" applyNumberFormat="1" applyFont="1" applyFill="1" applyBorder="1" applyAlignment="1">
      <alignment horizontal="left" vertical="center"/>
    </xf>
    <xf numFmtId="49" fontId="10" fillId="4" borderId="20" xfId="0" applyNumberFormat="1" applyFont="1" applyFill="1" applyBorder="1" applyAlignment="1">
      <alignment horizontal="left" vertical="center"/>
    </xf>
    <xf numFmtId="49" fontId="10" fillId="4" borderId="18" xfId="0" applyNumberFormat="1" applyFont="1" applyFill="1" applyBorder="1" applyAlignment="1">
      <alignment horizontal="center" vertical="center"/>
    </xf>
    <xf numFmtId="49" fontId="10" fillId="4" borderId="21" xfId="0" applyNumberFormat="1" applyFont="1" applyFill="1" applyBorder="1" applyAlignment="1">
      <alignment horizontal="center" vertical="center"/>
    </xf>
    <xf numFmtId="49" fontId="12" fillId="4" borderId="15" xfId="0" applyNumberFormat="1" applyFont="1" applyFill="1" applyBorder="1" applyAlignment="1">
      <alignment horizontal="center" vertical="center"/>
    </xf>
    <xf numFmtId="0" fontId="0" fillId="4" borderId="27" xfId="0" applyFill="1" applyBorder="1" applyAlignment="1">
      <alignment horizontal="center" vertical="center"/>
    </xf>
    <xf numFmtId="0" fontId="0" fillId="0" borderId="27" xfId="0" applyBorder="1" applyAlignment="1">
      <alignment horizontal="center" vertical="center"/>
    </xf>
    <xf numFmtId="49" fontId="10" fillId="4" borderId="16" xfId="0" applyNumberFormat="1" applyFont="1" applyFill="1" applyBorder="1" applyAlignment="1">
      <alignment horizontal="center" vertical="center"/>
    </xf>
    <xf numFmtId="49" fontId="10" fillId="4" borderId="30" xfId="0" applyNumberFormat="1" applyFont="1" applyFill="1" applyBorder="1" applyAlignment="1">
      <alignment horizontal="center" vertical="center"/>
    </xf>
    <xf numFmtId="0" fontId="13" fillId="4" borderId="0" xfId="0" applyFont="1" applyFill="1" applyAlignment="1">
      <alignment horizontal="center" vertical="center"/>
    </xf>
    <xf numFmtId="0" fontId="5" fillId="10" borderId="18" xfId="0" applyFont="1" applyFill="1" applyBorder="1" applyAlignment="1">
      <alignment horizontal="center" vertical="center"/>
    </xf>
    <xf numFmtId="0" fontId="5" fillId="10" borderId="21" xfId="0" applyFont="1" applyFill="1" applyBorder="1" applyAlignment="1">
      <alignment horizontal="center" vertical="center"/>
    </xf>
    <xf numFmtId="49" fontId="10" fillId="9" borderId="18" xfId="0" applyNumberFormat="1" applyFont="1" applyFill="1" applyBorder="1" applyAlignment="1">
      <alignment horizontal="center" vertical="center"/>
    </xf>
    <xf numFmtId="49" fontId="10" fillId="9" borderId="21" xfId="0" applyNumberFormat="1" applyFont="1" applyFill="1" applyBorder="1" applyAlignment="1">
      <alignment horizontal="center" vertical="center"/>
    </xf>
    <xf numFmtId="49" fontId="10" fillId="2" borderId="18" xfId="0" applyNumberFormat="1" applyFont="1" applyFill="1" applyBorder="1" applyAlignment="1">
      <alignment horizontal="center" vertical="center"/>
    </xf>
    <xf numFmtId="49" fontId="10" fillId="2" borderId="21" xfId="0" applyNumberFormat="1" applyFont="1" applyFill="1" applyBorder="1" applyAlignment="1">
      <alignment horizontal="center" vertical="center"/>
    </xf>
    <xf numFmtId="49" fontId="10" fillId="3" borderId="18" xfId="0" applyNumberFormat="1" applyFont="1" applyFill="1" applyBorder="1" applyAlignment="1">
      <alignment horizontal="center" vertical="center"/>
    </xf>
    <xf numFmtId="49" fontId="10" fillId="3" borderId="21" xfId="0" applyNumberFormat="1" applyFont="1" applyFill="1" applyBorder="1" applyAlignment="1">
      <alignment horizontal="center" vertical="center"/>
    </xf>
    <xf numFmtId="49" fontId="10" fillId="8" borderId="18" xfId="0" applyNumberFormat="1" applyFont="1" applyFill="1" applyBorder="1" applyAlignment="1">
      <alignment horizontal="center" vertical="center"/>
    </xf>
    <xf numFmtId="49" fontId="10" fillId="8" borderId="21" xfId="0" applyNumberFormat="1" applyFont="1" applyFill="1" applyBorder="1" applyAlignment="1">
      <alignment horizontal="center" vertical="center"/>
    </xf>
    <xf numFmtId="0" fontId="5" fillId="4" borderId="18"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37" xfId="0" applyFont="1" applyFill="1" applyBorder="1" applyAlignment="1">
      <alignment horizontal="center" vertical="center"/>
    </xf>
    <xf numFmtId="0" fontId="5" fillId="4" borderId="30" xfId="0" applyFont="1" applyFill="1" applyBorder="1" applyAlignment="1">
      <alignment horizontal="center" vertical="center"/>
    </xf>
    <xf numFmtId="49" fontId="10" fillId="4" borderId="27" xfId="0" applyNumberFormat="1" applyFont="1" applyFill="1" applyBorder="1" applyAlignment="1">
      <alignment horizontal="center" vertical="center"/>
    </xf>
    <xf numFmtId="49" fontId="10" fillId="4" borderId="38" xfId="0" applyNumberFormat="1" applyFont="1" applyFill="1" applyBorder="1" applyAlignment="1">
      <alignment horizontal="center" vertical="center"/>
    </xf>
    <xf numFmtId="49" fontId="10" fillId="4" borderId="50" xfId="0" applyNumberFormat="1" applyFont="1" applyFill="1" applyBorder="1" applyAlignment="1">
      <alignment horizontal="center" vertical="center"/>
    </xf>
    <xf numFmtId="49" fontId="10" fillId="4" borderId="51" xfId="0" applyNumberFormat="1" applyFont="1" applyFill="1" applyBorder="1" applyAlignment="1">
      <alignment horizontal="center" vertical="center"/>
    </xf>
    <xf numFmtId="0" fontId="5" fillId="4" borderId="54" xfId="0" applyFont="1" applyFill="1" applyBorder="1" applyAlignment="1">
      <alignment horizontal="center" vertical="center"/>
    </xf>
    <xf numFmtId="1" fontId="12" fillId="0" borderId="54" xfId="0" applyNumberFormat="1" applyFont="1" applyBorder="1" applyAlignment="1">
      <alignment horizontal="center" vertical="center"/>
    </xf>
    <xf numFmtId="0" fontId="5" fillId="4" borderId="55" xfId="0" applyFont="1" applyFill="1" applyBorder="1" applyAlignment="1">
      <alignment horizontal="center" vertical="center"/>
    </xf>
    <xf numFmtId="1" fontId="12" fillId="0" borderId="56" xfId="0" applyNumberFormat="1" applyFont="1" applyBorder="1" applyAlignment="1">
      <alignment horizontal="center" vertical="center"/>
    </xf>
    <xf numFmtId="0" fontId="5" fillId="4" borderId="53" xfId="0" applyFont="1" applyFill="1" applyBorder="1" applyAlignment="1">
      <alignment horizontal="center" vertical="center"/>
    </xf>
    <xf numFmtId="0" fontId="5" fillId="4" borderId="57" xfId="0" applyFont="1" applyFill="1" applyBorder="1" applyAlignment="1">
      <alignment horizontal="center" vertical="center"/>
    </xf>
    <xf numFmtId="0" fontId="5" fillId="4" borderId="56" xfId="0" applyFont="1" applyFill="1" applyBorder="1" applyAlignment="1">
      <alignment horizontal="center" vertical="center"/>
    </xf>
    <xf numFmtId="49" fontId="12" fillId="4" borderId="28" xfId="0" applyNumberFormat="1" applyFont="1" applyFill="1" applyBorder="1" applyAlignment="1">
      <alignment horizontal="center" vertical="center"/>
    </xf>
    <xf numFmtId="49" fontId="12" fillId="0" borderId="1" xfId="0" applyNumberFormat="1" applyFont="1" applyBorder="1" applyAlignment="1">
      <alignment horizontal="center" vertical="center"/>
    </xf>
    <xf numFmtId="49" fontId="12" fillId="0" borderId="3" xfId="0" applyNumberFormat="1" applyFont="1" applyBorder="1" applyAlignment="1">
      <alignment horizontal="center" vertical="center"/>
    </xf>
    <xf numFmtId="1" fontId="12" fillId="0" borderId="30" xfId="0" applyNumberFormat="1" applyFont="1" applyBorder="1" applyAlignment="1">
      <alignment horizontal="center" vertical="center"/>
    </xf>
    <xf numFmtId="1" fontId="12" fillId="0" borderId="18" xfId="0" applyNumberFormat="1" applyFont="1" applyBorder="1" applyAlignment="1">
      <alignment horizontal="center" vertical="center"/>
    </xf>
    <xf numFmtId="49" fontId="10" fillId="4" borderId="52" xfId="0" applyNumberFormat="1" applyFont="1" applyFill="1" applyBorder="1" applyAlignment="1">
      <alignment horizontal="center" vertical="center"/>
    </xf>
    <xf numFmtId="49" fontId="10" fillId="4" borderId="37" xfId="0" applyNumberFormat="1" applyFont="1" applyFill="1" applyBorder="1" applyAlignment="1">
      <alignment horizontal="center" vertical="center"/>
    </xf>
    <xf numFmtId="49" fontId="6" fillId="4" borderId="46" xfId="0" applyNumberFormat="1" applyFont="1" applyFill="1" applyBorder="1" applyAlignment="1">
      <alignment horizontal="left" vertical="center"/>
    </xf>
    <xf numFmtId="0" fontId="10" fillId="6" borderId="15" xfId="0" applyFont="1" applyFill="1"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4" borderId="19" xfId="0" applyFill="1" applyBorder="1" applyAlignment="1">
      <alignment horizontal="center" vertical="center"/>
    </xf>
    <xf numFmtId="49" fontId="12" fillId="0" borderId="44" xfId="0" applyNumberFormat="1" applyFont="1" applyBorder="1" applyAlignment="1">
      <alignment horizontal="center" vertical="center"/>
    </xf>
    <xf numFmtId="49" fontId="12" fillId="4" borderId="25" xfId="0" applyNumberFormat="1" applyFont="1" applyFill="1" applyBorder="1" applyAlignment="1">
      <alignment horizontal="center" vertical="center"/>
    </xf>
    <xf numFmtId="49" fontId="12" fillId="4" borderId="34" xfId="0" applyNumberFormat="1" applyFont="1" applyFill="1" applyBorder="1" applyAlignment="1">
      <alignment horizontal="center" vertical="center"/>
    </xf>
    <xf numFmtId="49" fontId="12" fillId="4" borderId="44" xfId="0" applyNumberFormat="1" applyFont="1" applyFill="1" applyBorder="1" applyAlignment="1">
      <alignment horizontal="center" vertical="center"/>
    </xf>
    <xf numFmtId="49" fontId="12" fillId="0" borderId="26" xfId="0" applyNumberFormat="1" applyFont="1" applyBorder="1" applyAlignment="1">
      <alignment horizontal="center" vertical="center"/>
    </xf>
    <xf numFmtId="49" fontId="12" fillId="0" borderId="25" xfId="0" applyNumberFormat="1" applyFont="1" applyBorder="1" applyAlignment="1">
      <alignment horizontal="center" vertical="center"/>
    </xf>
    <xf numFmtId="49" fontId="12" fillId="4" borderId="49" xfId="0" applyNumberFormat="1" applyFont="1" applyFill="1" applyBorder="1" applyAlignment="1">
      <alignment horizontal="center" vertical="center"/>
    </xf>
    <xf numFmtId="0" fontId="19" fillId="6" borderId="1"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3" xfId="0" applyFont="1" applyFill="1" applyBorder="1" applyAlignment="1">
      <alignment horizontal="center" vertical="center"/>
    </xf>
    <xf numFmtId="0" fontId="20" fillId="0" borderId="14" xfId="0" applyFont="1" applyBorder="1" applyAlignment="1">
      <alignment horizontal="center" vertical="center"/>
    </xf>
    <xf numFmtId="0" fontId="21" fillId="0" borderId="15" xfId="0" applyFont="1" applyBorder="1" applyAlignment="1">
      <alignment vertical="center"/>
    </xf>
    <xf numFmtId="0" fontId="20" fillId="0" borderId="17" xfId="0" applyFont="1" applyBorder="1" applyAlignment="1">
      <alignment horizontal="center" vertical="center"/>
    </xf>
    <xf numFmtId="0" fontId="21" fillId="0" borderId="13" xfId="0" applyFont="1" applyBorder="1" applyAlignment="1">
      <alignment vertical="center" wrapText="1"/>
    </xf>
    <xf numFmtId="0" fontId="20" fillId="4" borderId="17" xfId="0" applyFont="1" applyFill="1" applyBorder="1" applyAlignment="1">
      <alignment horizontal="center" vertical="center"/>
    </xf>
    <xf numFmtId="0" fontId="21" fillId="4" borderId="13" xfId="0" applyFont="1" applyFill="1" applyBorder="1" applyAlignment="1">
      <alignment vertical="center" wrapText="1"/>
    </xf>
    <xf numFmtId="0" fontId="21" fillId="0" borderId="13" xfId="0" applyFont="1" applyBorder="1" applyAlignment="1">
      <alignment vertical="center"/>
    </xf>
    <xf numFmtId="0" fontId="0" fillId="4" borderId="20" xfId="0" applyFill="1" applyBorder="1" applyAlignment="1">
      <alignment horizontal="center" vertical="center"/>
    </xf>
    <xf numFmtId="49" fontId="12" fillId="0" borderId="28" xfId="0" applyNumberFormat="1" applyFont="1" applyBorder="1" applyAlignment="1">
      <alignment horizontal="center" vertical="center"/>
    </xf>
    <xf numFmtId="49" fontId="12" fillId="4" borderId="32" xfId="0" applyNumberFormat="1" applyFont="1" applyFill="1" applyBorder="1" applyAlignment="1">
      <alignment horizontal="center" vertical="center"/>
    </xf>
    <xf numFmtId="0" fontId="21" fillId="4" borderId="13" xfId="0" applyFont="1" applyFill="1" applyBorder="1" applyAlignment="1">
      <alignment vertical="center"/>
    </xf>
    <xf numFmtId="0" fontId="20" fillId="4" borderId="18" xfId="0" applyFont="1" applyFill="1" applyBorder="1" applyAlignment="1">
      <alignment horizontal="center" vertical="center"/>
    </xf>
    <xf numFmtId="0" fontId="20" fillId="4" borderId="18" xfId="0" applyFont="1" applyFill="1" applyBorder="1" applyAlignment="1">
      <alignment horizontal="left" vertical="center" indent="1"/>
    </xf>
    <xf numFmtId="0" fontId="21" fillId="4" borderId="13" xfId="0" applyFont="1" applyFill="1" applyBorder="1" applyAlignment="1">
      <alignment horizontal="left" vertical="center" wrapText="1"/>
    </xf>
    <xf numFmtId="49" fontId="12" fillId="4" borderId="26" xfId="0" applyNumberFormat="1" applyFont="1" applyFill="1" applyBorder="1" applyAlignment="1">
      <alignment horizontal="center" vertical="center"/>
    </xf>
    <xf numFmtId="49" fontId="10" fillId="4" borderId="26" xfId="0" applyNumberFormat="1" applyFont="1" applyFill="1" applyBorder="1" applyAlignment="1">
      <alignment horizontal="center" vertical="center"/>
    </xf>
    <xf numFmtId="49" fontId="10" fillId="4" borderId="25" xfId="0" applyNumberFormat="1" applyFont="1" applyFill="1" applyBorder="1" applyAlignment="1">
      <alignment horizontal="center" vertical="center"/>
    </xf>
    <xf numFmtId="49" fontId="10" fillId="4" borderId="34" xfId="0" applyNumberFormat="1" applyFont="1" applyFill="1" applyBorder="1" applyAlignment="1">
      <alignment horizontal="center" vertical="center"/>
    </xf>
    <xf numFmtId="0" fontId="10" fillId="4" borderId="13" xfId="0" applyFont="1" applyFill="1" applyBorder="1" applyAlignment="1">
      <alignment horizontal="left" vertical="center"/>
    </xf>
    <xf numFmtId="0" fontId="6" fillId="4" borderId="46" xfId="0" applyFont="1" applyFill="1" applyBorder="1" applyAlignment="1">
      <alignment horizontal="left" vertical="center"/>
    </xf>
    <xf numFmtId="0" fontId="10" fillId="4" borderId="18" xfId="0" applyFont="1" applyFill="1" applyBorder="1" applyAlignment="1">
      <alignment horizontal="left" vertical="center"/>
    </xf>
    <xf numFmtId="49" fontId="18" fillId="12" borderId="7" xfId="0" applyNumberFormat="1" applyFont="1" applyFill="1" applyBorder="1" applyAlignment="1">
      <alignment horizontal="center" vertical="center"/>
    </xf>
    <xf numFmtId="49" fontId="27" fillId="12" borderId="11" xfId="0" applyNumberFormat="1" applyFont="1" applyFill="1" applyBorder="1" applyAlignment="1">
      <alignment horizontal="center" vertical="center"/>
    </xf>
    <xf numFmtId="49" fontId="25" fillId="4" borderId="46" xfId="0" applyNumberFormat="1" applyFont="1" applyFill="1" applyBorder="1" applyAlignment="1">
      <alignment horizontal="center" vertical="center" wrapText="1"/>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21" fillId="0" borderId="20" xfId="0" applyFont="1" applyBorder="1" applyAlignment="1">
      <alignment horizontal="left" vertical="center"/>
    </xf>
    <xf numFmtId="49" fontId="25" fillId="12" borderId="61" xfId="0" applyNumberFormat="1" applyFont="1" applyFill="1" applyBorder="1" applyAlignment="1">
      <alignment horizontal="center" vertical="center" wrapText="1"/>
    </xf>
    <xf numFmtId="0" fontId="10" fillId="6" borderId="36" xfId="0" applyFont="1" applyFill="1" applyBorder="1" applyAlignment="1">
      <alignment horizontal="center" vertical="center"/>
    </xf>
    <xf numFmtId="0" fontId="10" fillId="6" borderId="39" xfId="0" applyFont="1" applyFill="1" applyBorder="1" applyAlignment="1">
      <alignment horizontal="center" vertical="center"/>
    </xf>
    <xf numFmtId="0" fontId="5" fillId="4" borderId="14" xfId="0" applyFont="1" applyFill="1" applyBorder="1" applyAlignment="1">
      <alignment horizontal="center" vertical="center"/>
    </xf>
    <xf numFmtId="0" fontId="5" fillId="10" borderId="16" xfId="0" applyFont="1" applyFill="1" applyBorder="1" applyAlignment="1">
      <alignment horizontal="center" vertical="center"/>
    </xf>
    <xf numFmtId="49" fontId="27" fillId="12" borderId="0" xfId="0" applyNumberFormat="1" applyFont="1" applyFill="1" applyAlignment="1">
      <alignment horizontal="center" vertical="center"/>
    </xf>
    <xf numFmtId="0" fontId="35" fillId="14" borderId="46" xfId="0" applyFont="1" applyFill="1" applyBorder="1" applyAlignment="1">
      <alignment horizontal="center" vertical="center"/>
    </xf>
    <xf numFmtId="0" fontId="0" fillId="0" borderId="0" xfId="0" applyAlignment="1">
      <alignment horizontal="center" vertical="center"/>
    </xf>
    <xf numFmtId="0" fontId="10" fillId="13" borderId="15" xfId="0" applyFont="1" applyFill="1" applyBorder="1" applyAlignment="1">
      <alignment horizontal="center" vertical="center"/>
    </xf>
    <xf numFmtId="0" fontId="10" fillId="13" borderId="13" xfId="0" applyFont="1" applyFill="1" applyBorder="1" applyAlignment="1">
      <alignment horizontal="center" vertical="center"/>
    </xf>
    <xf numFmtId="0" fontId="10" fillId="13" borderId="20" xfId="0" applyFont="1" applyFill="1" applyBorder="1" applyAlignment="1">
      <alignment horizontal="center" vertical="center"/>
    </xf>
    <xf numFmtId="0" fontId="10" fillId="13" borderId="16" xfId="0" applyFont="1" applyFill="1" applyBorder="1" applyAlignment="1">
      <alignment horizontal="center" vertical="center"/>
    </xf>
    <xf numFmtId="0" fontId="10" fillId="13" borderId="18" xfId="0" applyFont="1" applyFill="1" applyBorder="1" applyAlignment="1">
      <alignment horizontal="center" vertical="center"/>
    </xf>
    <xf numFmtId="0" fontId="10" fillId="13" borderId="21" xfId="0" applyFont="1" applyFill="1" applyBorder="1" applyAlignment="1">
      <alignment horizontal="center" vertical="center"/>
    </xf>
    <xf numFmtId="0" fontId="5" fillId="13" borderId="16" xfId="0" applyFont="1" applyFill="1" applyBorder="1" applyAlignment="1">
      <alignment horizontal="center" vertical="center"/>
    </xf>
    <xf numFmtId="0" fontId="5" fillId="13" borderId="21" xfId="0" applyFont="1" applyFill="1" applyBorder="1" applyAlignment="1">
      <alignment horizontal="center" vertical="center"/>
    </xf>
    <xf numFmtId="0" fontId="5" fillId="13" borderId="3" xfId="0" applyFont="1" applyFill="1" applyBorder="1" applyAlignment="1">
      <alignment horizontal="center" vertical="center"/>
    </xf>
    <xf numFmtId="0" fontId="5" fillId="13" borderId="15" xfId="0" applyFont="1" applyFill="1" applyBorder="1" applyAlignment="1">
      <alignment horizontal="center" vertical="center"/>
    </xf>
    <xf numFmtId="0" fontId="5" fillId="13" borderId="20" xfId="0" applyFont="1" applyFill="1" applyBorder="1" applyAlignment="1">
      <alignment horizontal="center" vertical="center"/>
    </xf>
    <xf numFmtId="0" fontId="5" fillId="13" borderId="2" xfId="0" applyFont="1" applyFill="1" applyBorder="1" applyAlignment="1">
      <alignment horizontal="center" vertical="center"/>
    </xf>
    <xf numFmtId="0" fontId="37" fillId="4" borderId="15" xfId="0" applyFont="1" applyFill="1" applyBorder="1" applyAlignment="1">
      <alignment horizontal="left" vertical="center" indent="1"/>
    </xf>
    <xf numFmtId="0" fontId="37" fillId="4" borderId="20" xfId="0" applyFont="1" applyFill="1" applyBorder="1" applyAlignment="1">
      <alignment horizontal="left" vertical="center" indent="1"/>
    </xf>
    <xf numFmtId="0" fontId="37" fillId="4" borderId="15" xfId="0" applyFont="1" applyFill="1" applyBorder="1" applyAlignment="1">
      <alignment horizontal="right" vertical="center" indent="1"/>
    </xf>
    <xf numFmtId="0" fontId="37" fillId="4" borderId="20" xfId="0" applyFont="1" applyFill="1" applyBorder="1" applyAlignment="1">
      <alignment horizontal="right" vertical="center" indent="1"/>
    </xf>
    <xf numFmtId="0" fontId="37" fillId="4" borderId="13" xfId="0" applyFont="1" applyFill="1" applyBorder="1" applyAlignment="1">
      <alignment horizontal="left" vertical="center" indent="1"/>
    </xf>
    <xf numFmtId="0" fontId="37" fillId="4" borderId="13" xfId="0" applyFont="1" applyFill="1" applyBorder="1" applyAlignment="1">
      <alignment horizontal="right" vertical="center" indent="1"/>
    </xf>
    <xf numFmtId="0" fontId="37" fillId="15" borderId="15" xfId="0" applyFont="1" applyFill="1" applyBorder="1" applyAlignment="1">
      <alignment horizontal="left" vertical="center" indent="1"/>
    </xf>
    <xf numFmtId="0" fontId="37" fillId="15" borderId="20" xfId="0" applyFont="1" applyFill="1" applyBorder="1" applyAlignment="1">
      <alignment horizontal="left" vertical="center" indent="1"/>
    </xf>
    <xf numFmtId="0" fontId="37" fillId="15" borderId="15" xfId="0" applyFont="1" applyFill="1" applyBorder="1" applyAlignment="1">
      <alignment horizontal="right" vertical="center" indent="1"/>
    </xf>
    <xf numFmtId="0" fontId="37" fillId="15" borderId="20" xfId="0" applyFont="1" applyFill="1" applyBorder="1" applyAlignment="1">
      <alignment horizontal="right" vertical="center" indent="1"/>
    </xf>
    <xf numFmtId="0" fontId="37" fillId="15" borderId="2" xfId="0" applyFont="1" applyFill="1" applyBorder="1" applyAlignment="1">
      <alignment horizontal="left" vertical="center" indent="1"/>
    </xf>
    <xf numFmtId="0" fontId="37" fillId="15" borderId="2" xfId="0" applyFont="1" applyFill="1" applyBorder="1" applyAlignment="1">
      <alignment horizontal="right" vertical="center" indent="1"/>
    </xf>
    <xf numFmtId="0" fontId="5" fillId="0" borderId="0" xfId="0" applyFont="1"/>
    <xf numFmtId="0" fontId="38" fillId="15" borderId="46" xfId="0" applyFont="1" applyFill="1" applyBorder="1" applyAlignment="1">
      <alignment horizontal="center" vertical="center"/>
    </xf>
    <xf numFmtId="49" fontId="10" fillId="13" borderId="6" xfId="0" applyNumberFormat="1" applyFont="1" applyFill="1" applyBorder="1" applyAlignment="1">
      <alignment horizontal="center" vertical="center"/>
    </xf>
    <xf numFmtId="49" fontId="10" fillId="13" borderId="7" xfId="0" applyNumberFormat="1" applyFont="1" applyFill="1" applyBorder="1" applyAlignment="1">
      <alignment horizontal="center" vertical="center"/>
    </xf>
    <xf numFmtId="49" fontId="10" fillId="13" borderId="8" xfId="0" applyNumberFormat="1" applyFont="1" applyFill="1" applyBorder="1" applyAlignment="1">
      <alignment horizontal="center" vertical="center"/>
    </xf>
    <xf numFmtId="0" fontId="3" fillId="12" borderId="9" xfId="0" applyFont="1" applyFill="1" applyBorder="1" applyAlignment="1">
      <alignment horizontal="center" vertical="center"/>
    </xf>
    <xf numFmtId="0" fontId="3" fillId="12" borderId="0" xfId="0" applyFont="1" applyFill="1" applyAlignment="1">
      <alignment horizontal="center" vertical="center"/>
    </xf>
    <xf numFmtId="0" fontId="3" fillId="12" borderId="5" xfId="0" applyFont="1" applyFill="1" applyBorder="1" applyAlignment="1">
      <alignment horizontal="center" vertical="center"/>
    </xf>
    <xf numFmtId="49" fontId="10" fillId="13" borderId="22" xfId="0" applyNumberFormat="1" applyFont="1" applyFill="1" applyBorder="1" applyAlignment="1">
      <alignment horizontal="center" vertical="center"/>
    </xf>
    <xf numFmtId="49" fontId="10" fillId="13" borderId="23" xfId="0" applyNumberFormat="1" applyFont="1" applyFill="1" applyBorder="1" applyAlignment="1">
      <alignment horizontal="center" vertical="center"/>
    </xf>
    <xf numFmtId="49" fontId="10" fillId="13" borderId="4" xfId="0" applyNumberFormat="1" applyFont="1" applyFill="1" applyBorder="1" applyAlignment="1">
      <alignment horizontal="center" vertical="center"/>
    </xf>
    <xf numFmtId="0" fontId="0" fillId="12" borderId="9" xfId="0" applyFill="1" applyBorder="1" applyAlignment="1">
      <alignment horizontal="center"/>
    </xf>
    <xf numFmtId="0" fontId="0" fillId="12" borderId="10" xfId="0" applyFill="1" applyBorder="1" applyAlignment="1">
      <alignment horizontal="center"/>
    </xf>
    <xf numFmtId="49" fontId="8" fillId="12" borderId="5" xfId="0" applyNumberFormat="1" applyFont="1" applyFill="1" applyBorder="1" applyAlignment="1">
      <alignment horizontal="center" vertical="center"/>
    </xf>
    <xf numFmtId="49" fontId="8" fillId="12" borderId="12" xfId="0" applyNumberFormat="1" applyFont="1" applyFill="1" applyBorder="1" applyAlignment="1">
      <alignment horizontal="center" vertical="center"/>
    </xf>
    <xf numFmtId="0" fontId="5" fillId="12" borderId="23" xfId="0" applyFont="1" applyFill="1" applyBorder="1" applyAlignment="1">
      <alignment horizontal="center"/>
    </xf>
    <xf numFmtId="0" fontId="5" fillId="12" borderId="11" xfId="0" applyFont="1" applyFill="1" applyBorder="1" applyAlignment="1">
      <alignment horizontal="center"/>
    </xf>
    <xf numFmtId="0" fontId="32" fillId="14" borderId="22" xfId="0" applyFont="1" applyFill="1" applyBorder="1" applyAlignment="1">
      <alignment horizontal="center" vertical="center"/>
    </xf>
    <xf numFmtId="0" fontId="32" fillId="14" borderId="23" xfId="0" applyFont="1" applyFill="1" applyBorder="1" applyAlignment="1">
      <alignment horizontal="center" vertical="center"/>
    </xf>
    <xf numFmtId="0" fontId="32" fillId="14" borderId="4" xfId="0" applyFont="1" applyFill="1" applyBorder="1" applyAlignment="1">
      <alignment horizontal="center" vertical="center"/>
    </xf>
    <xf numFmtId="49" fontId="33" fillId="14" borderId="10" xfId="0" applyNumberFormat="1" applyFont="1" applyFill="1" applyBorder="1" applyAlignment="1">
      <alignment horizontal="center" vertical="center"/>
    </xf>
    <xf numFmtId="49" fontId="33" fillId="14" borderId="11" xfId="0" applyNumberFormat="1" applyFont="1" applyFill="1" applyBorder="1" applyAlignment="1">
      <alignment horizontal="center" vertical="center"/>
    </xf>
    <xf numFmtId="49" fontId="33" fillId="14" borderId="12" xfId="0" applyNumberFormat="1" applyFont="1" applyFill="1" applyBorder="1" applyAlignment="1">
      <alignment horizontal="center" vertical="center"/>
    </xf>
    <xf numFmtId="0" fontId="0" fillId="12" borderId="6" xfId="0" applyFill="1" applyBorder="1" applyAlignment="1">
      <alignment horizontal="center"/>
    </xf>
    <xf numFmtId="0" fontId="0" fillId="12" borderId="7" xfId="0" applyFill="1" applyBorder="1" applyAlignment="1">
      <alignment horizontal="center"/>
    </xf>
    <xf numFmtId="0" fontId="0" fillId="12" borderId="8" xfId="0" applyFill="1" applyBorder="1" applyAlignment="1">
      <alignment horizontal="center"/>
    </xf>
    <xf numFmtId="0" fontId="0" fillId="12" borderId="5" xfId="0" applyFill="1" applyBorder="1" applyAlignment="1">
      <alignment horizontal="center"/>
    </xf>
    <xf numFmtId="49" fontId="34" fillId="16" borderId="22" xfId="0" applyNumberFormat="1" applyFont="1" applyFill="1" applyBorder="1" applyAlignment="1">
      <alignment horizontal="center" vertical="center"/>
    </xf>
    <xf numFmtId="49" fontId="34" fillId="16" borderId="23" xfId="0" applyNumberFormat="1" applyFont="1" applyFill="1" applyBorder="1" applyAlignment="1">
      <alignment horizontal="center" vertical="center"/>
    </xf>
    <xf numFmtId="49" fontId="34" fillId="16" borderId="4" xfId="0" applyNumberFormat="1" applyFont="1" applyFill="1" applyBorder="1" applyAlignment="1">
      <alignment horizontal="center" vertical="center"/>
    </xf>
    <xf numFmtId="0" fontId="29" fillId="13" borderId="22" xfId="0" applyFont="1" applyFill="1" applyBorder="1" applyAlignment="1">
      <alignment horizontal="center" vertical="center"/>
    </xf>
    <xf numFmtId="0" fontId="29" fillId="13" borderId="23" xfId="0" applyFont="1" applyFill="1" applyBorder="1" applyAlignment="1">
      <alignment horizontal="center" vertical="center"/>
    </xf>
    <xf numFmtId="0" fontId="29" fillId="13" borderId="4" xfId="0" applyFont="1" applyFill="1" applyBorder="1" applyAlignment="1">
      <alignment horizontal="center" vertical="center"/>
    </xf>
    <xf numFmtId="49" fontId="15" fillId="12" borderId="0" xfId="0" applyNumberFormat="1" applyFont="1" applyFill="1" applyAlignment="1">
      <alignment horizontal="center" vertical="center"/>
    </xf>
    <xf numFmtId="0" fontId="35" fillId="14" borderId="7" xfId="0" applyFont="1" applyFill="1" applyBorder="1" applyAlignment="1">
      <alignment horizontal="center" vertical="center"/>
    </xf>
    <xf numFmtId="0" fontId="35" fillId="14" borderId="0" xfId="0" applyFont="1" applyFill="1" applyAlignment="1">
      <alignment horizontal="center" vertical="center"/>
    </xf>
    <xf numFmtId="0" fontId="38" fillId="15" borderId="62" xfId="0" applyFont="1" applyFill="1" applyBorder="1" applyAlignment="1">
      <alignment horizontal="center" vertical="center"/>
    </xf>
    <xf numFmtId="0" fontId="38" fillId="15" borderId="61" xfId="0" applyFont="1" applyFill="1" applyBorder="1" applyAlignment="1">
      <alignment horizontal="center" vertical="center"/>
    </xf>
    <xf numFmtId="0" fontId="38" fillId="2" borderId="62" xfId="0" applyFont="1" applyFill="1" applyBorder="1" applyAlignment="1">
      <alignment horizontal="center" vertical="center"/>
    </xf>
    <xf numFmtId="0" fontId="38" fillId="2" borderId="41" xfId="0" applyFont="1" applyFill="1" applyBorder="1" applyAlignment="1">
      <alignment horizontal="center" vertical="center"/>
    </xf>
    <xf numFmtId="0" fontId="38" fillId="2" borderId="61" xfId="0" applyFont="1" applyFill="1" applyBorder="1" applyAlignment="1">
      <alignment horizontal="center" vertical="center"/>
    </xf>
    <xf numFmtId="49" fontId="17" fillId="14" borderId="6" xfId="0" applyNumberFormat="1" applyFont="1" applyFill="1" applyBorder="1" applyAlignment="1">
      <alignment horizontal="center" vertical="center"/>
    </xf>
    <xf numFmtId="49" fontId="17" fillId="14" borderId="7" xfId="0" applyNumberFormat="1" applyFont="1" applyFill="1" applyBorder="1" applyAlignment="1">
      <alignment horizontal="center" vertical="center"/>
    </xf>
    <xf numFmtId="49" fontId="17" fillId="14" borderId="8" xfId="0" applyNumberFormat="1" applyFont="1" applyFill="1" applyBorder="1" applyAlignment="1">
      <alignment horizontal="center" vertical="center"/>
    </xf>
    <xf numFmtId="49" fontId="18" fillId="12" borderId="6" xfId="0" applyNumberFormat="1" applyFont="1" applyFill="1" applyBorder="1" applyAlignment="1">
      <alignment horizontal="center" vertical="center" wrapText="1"/>
    </xf>
    <xf numFmtId="49" fontId="18" fillId="12" borderId="8" xfId="0" applyNumberFormat="1" applyFont="1" applyFill="1" applyBorder="1" applyAlignment="1">
      <alignment horizontal="center" vertical="center" wrapText="1"/>
    </xf>
    <xf numFmtId="49" fontId="18" fillId="12" borderId="10" xfId="0" applyNumberFormat="1" applyFont="1" applyFill="1" applyBorder="1" applyAlignment="1">
      <alignment horizontal="center" vertical="center" wrapText="1"/>
    </xf>
    <xf numFmtId="49" fontId="18" fillId="12" borderId="12" xfId="0" applyNumberFormat="1" applyFont="1" applyFill="1" applyBorder="1" applyAlignment="1">
      <alignment horizontal="center" vertical="center" wrapText="1"/>
    </xf>
    <xf numFmtId="49" fontId="26" fillId="14" borderId="6" xfId="0" applyNumberFormat="1" applyFont="1" applyFill="1" applyBorder="1" applyAlignment="1">
      <alignment horizontal="center" vertical="center"/>
    </xf>
    <xf numFmtId="49" fontId="26" fillId="14" borderId="7" xfId="0" applyNumberFormat="1" applyFont="1" applyFill="1" applyBorder="1" applyAlignment="1">
      <alignment horizontal="center" vertical="center"/>
    </xf>
    <xf numFmtId="49" fontId="26" fillId="14" borderId="8" xfId="0" applyNumberFormat="1" applyFont="1" applyFill="1" applyBorder="1" applyAlignment="1">
      <alignment horizontal="center" vertical="center"/>
    </xf>
    <xf numFmtId="49" fontId="26" fillId="14" borderId="10" xfId="0" applyNumberFormat="1" applyFont="1" applyFill="1" applyBorder="1" applyAlignment="1">
      <alignment horizontal="center" vertical="center"/>
    </xf>
    <xf numFmtId="49" fontId="26" fillId="14" borderId="11" xfId="0" applyNumberFormat="1" applyFont="1" applyFill="1" applyBorder="1" applyAlignment="1">
      <alignment horizontal="center" vertical="center"/>
    </xf>
    <xf numFmtId="49" fontId="26" fillId="14" borderId="12" xfId="0" applyNumberFormat="1" applyFont="1" applyFill="1" applyBorder="1" applyAlignment="1">
      <alignment horizontal="center" vertical="center"/>
    </xf>
    <xf numFmtId="49" fontId="17" fillId="14" borderId="10" xfId="0" applyNumberFormat="1" applyFont="1" applyFill="1" applyBorder="1" applyAlignment="1">
      <alignment horizontal="center" vertical="center"/>
    </xf>
    <xf numFmtId="49" fontId="17" fillId="14" borderId="11" xfId="0" applyNumberFormat="1" applyFont="1" applyFill="1" applyBorder="1" applyAlignment="1">
      <alignment horizontal="center" vertical="center"/>
    </xf>
    <xf numFmtId="49" fontId="17" fillId="14" borderId="12" xfId="0" applyNumberFormat="1" applyFont="1" applyFill="1" applyBorder="1" applyAlignment="1">
      <alignment horizontal="center" vertical="center"/>
    </xf>
    <xf numFmtId="0" fontId="20" fillId="0" borderId="25" xfId="0" applyFont="1" applyBorder="1" applyAlignment="1">
      <alignment horizontal="left" vertical="center" indent="1"/>
    </xf>
    <xf numFmtId="0" fontId="20" fillId="0" borderId="31" xfId="0" applyFont="1" applyBorder="1" applyAlignment="1">
      <alignment horizontal="left" vertical="center" indent="1"/>
    </xf>
    <xf numFmtId="0" fontId="20" fillId="0" borderId="24" xfId="0" applyFont="1" applyBorder="1" applyAlignment="1">
      <alignment horizontal="left" vertical="center" indent="1"/>
    </xf>
    <xf numFmtId="0" fontId="20" fillId="0" borderId="17" xfId="0" applyFont="1" applyBorder="1" applyAlignment="1">
      <alignment horizontal="center" vertical="center"/>
    </xf>
    <xf numFmtId="0" fontId="21" fillId="0" borderId="13" xfId="0" applyFont="1" applyBorder="1" applyAlignment="1">
      <alignment horizontal="left" vertical="center"/>
    </xf>
    <xf numFmtId="0" fontId="20" fillId="0" borderId="13" xfId="0" applyFont="1" applyBorder="1" applyAlignment="1">
      <alignment horizontal="left" vertical="center" indent="1"/>
    </xf>
    <xf numFmtId="0" fontId="21" fillId="12" borderId="13" xfId="0" applyFont="1" applyFill="1" applyBorder="1" applyAlignment="1">
      <alignment horizontal="left" vertical="center" indent="1"/>
    </xf>
    <xf numFmtId="0" fontId="21" fillId="12" borderId="18" xfId="0" applyFont="1" applyFill="1" applyBorder="1" applyAlignment="1">
      <alignment horizontal="left" vertical="center" indent="1"/>
    </xf>
    <xf numFmtId="0" fontId="20" fillId="4" borderId="13" xfId="0" applyFont="1" applyFill="1" applyBorder="1" applyAlignment="1">
      <alignment horizontal="left" vertical="center" indent="1"/>
    </xf>
    <xf numFmtId="0" fontId="20" fillId="4" borderId="18" xfId="0" applyFont="1" applyFill="1" applyBorder="1" applyAlignment="1">
      <alignment horizontal="left" vertical="center" indent="1"/>
    </xf>
    <xf numFmtId="0" fontId="20" fillId="4" borderId="13" xfId="0" applyFont="1" applyFill="1" applyBorder="1" applyAlignment="1">
      <alignment horizontal="left" vertical="center" wrapText="1" indent="1"/>
    </xf>
    <xf numFmtId="0" fontId="20" fillId="4" borderId="18" xfId="0" applyFont="1" applyFill="1" applyBorder="1" applyAlignment="1">
      <alignment horizontal="left" vertical="center" wrapText="1" indent="1"/>
    </xf>
    <xf numFmtId="49" fontId="30" fillId="12" borderId="23" xfId="0" applyNumberFormat="1" applyFont="1" applyFill="1" applyBorder="1" applyAlignment="1">
      <alignment horizontal="center" vertical="center"/>
    </xf>
    <xf numFmtId="0" fontId="0" fillId="12" borderId="11" xfId="0" applyFill="1" applyBorder="1" applyAlignment="1">
      <alignment horizontal="center"/>
    </xf>
    <xf numFmtId="0" fontId="0" fillId="12" borderId="12" xfId="0" applyFill="1" applyBorder="1" applyAlignment="1">
      <alignment horizontal="center"/>
    </xf>
    <xf numFmtId="49" fontId="16" fillId="12" borderId="9" xfId="0" applyNumberFormat="1" applyFont="1" applyFill="1" applyBorder="1" applyAlignment="1">
      <alignment horizontal="center" vertical="center"/>
    </xf>
    <xf numFmtId="0" fontId="19" fillId="6" borderId="58" xfId="0" applyFont="1" applyFill="1" applyBorder="1" applyAlignment="1">
      <alignment horizontal="center" vertical="center"/>
    </xf>
    <xf numFmtId="0" fontId="19" fillId="6" borderId="23" xfId="0" applyFont="1" applyFill="1" applyBorder="1" applyAlignment="1">
      <alignment horizontal="center" vertical="center"/>
    </xf>
    <xf numFmtId="0" fontId="19" fillId="6" borderId="59" xfId="0" applyFont="1" applyFill="1" applyBorder="1" applyAlignment="1">
      <alignment horizontal="center" vertical="center"/>
    </xf>
    <xf numFmtId="0" fontId="20" fillId="0" borderId="18" xfId="0" applyFont="1" applyBorder="1" applyAlignment="1">
      <alignment horizontal="left" vertical="center" indent="1"/>
    </xf>
    <xf numFmtId="0" fontId="20" fillId="0" borderId="15" xfId="0" applyFont="1" applyBorder="1" applyAlignment="1">
      <alignment horizontal="left" vertical="center" wrapText="1" indent="1"/>
    </xf>
    <xf numFmtId="0" fontId="20" fillId="0" borderId="16" xfId="0" applyFont="1" applyBorder="1" applyAlignment="1">
      <alignment horizontal="left" vertical="center" wrapText="1" indent="1"/>
    </xf>
    <xf numFmtId="0" fontId="20" fillId="4" borderId="17" xfId="0" applyFont="1" applyFill="1" applyBorder="1" applyAlignment="1">
      <alignment horizontal="center" vertical="center"/>
    </xf>
    <xf numFmtId="0" fontId="31" fillId="12" borderId="20" xfId="0" applyFont="1" applyFill="1" applyBorder="1" applyAlignment="1">
      <alignment horizontal="center" vertical="center" wrapText="1"/>
    </xf>
    <xf numFmtId="0" fontId="31" fillId="12" borderId="21" xfId="0" applyFont="1" applyFill="1" applyBorder="1" applyAlignment="1">
      <alignment horizontal="center" vertical="center" wrapText="1"/>
    </xf>
    <xf numFmtId="0" fontId="21" fillId="4" borderId="13" xfId="0" applyFont="1" applyFill="1" applyBorder="1" applyAlignment="1">
      <alignment horizontal="left" vertical="center" wrapText="1"/>
    </xf>
    <xf numFmtId="0" fontId="36" fillId="15" borderId="22" xfId="0" applyFont="1" applyFill="1" applyBorder="1" applyAlignment="1">
      <alignment horizontal="center" vertical="center"/>
    </xf>
    <xf numFmtId="0" fontId="36" fillId="15" borderId="23" xfId="0" applyFont="1" applyFill="1" applyBorder="1" applyAlignment="1">
      <alignment horizontal="center" vertical="center"/>
    </xf>
    <xf numFmtId="0" fontId="36" fillId="15" borderId="4" xfId="0" applyFont="1" applyFill="1" applyBorder="1" applyAlignment="1">
      <alignment horizontal="center" vertical="center"/>
    </xf>
    <xf numFmtId="0" fontId="10" fillId="15" borderId="25" xfId="0" applyFont="1" applyFill="1" applyBorder="1" applyAlignment="1">
      <alignment horizontal="left" vertical="center" indent="1"/>
    </xf>
    <xf numFmtId="0" fontId="10" fillId="15" borderId="31" xfId="0" applyFont="1" applyFill="1" applyBorder="1" applyAlignment="1">
      <alignment horizontal="left" vertical="center" indent="1"/>
    </xf>
    <xf numFmtId="0" fontId="10" fillId="15" borderId="38" xfId="0" applyFont="1" applyFill="1" applyBorder="1" applyAlignment="1">
      <alignment horizontal="left" vertical="center" indent="1"/>
    </xf>
    <xf numFmtId="0" fontId="10" fillId="15" borderId="34" xfId="0" applyFont="1" applyFill="1" applyBorder="1" applyAlignment="1">
      <alignment horizontal="left" vertical="center" indent="1"/>
    </xf>
    <xf numFmtId="0" fontId="10" fillId="15" borderId="35" xfId="0" applyFont="1" applyFill="1" applyBorder="1" applyAlignment="1">
      <alignment horizontal="left" vertical="center" indent="1"/>
    </xf>
    <xf numFmtId="0" fontId="10" fillId="15" borderId="50" xfId="0" applyFont="1" applyFill="1" applyBorder="1" applyAlignment="1">
      <alignment horizontal="left" vertical="center" indent="1"/>
    </xf>
    <xf numFmtId="0" fontId="10" fillId="15" borderId="26" xfId="0" applyFont="1" applyFill="1" applyBorder="1" applyAlignment="1">
      <alignment horizontal="left" vertical="center" indent="1"/>
    </xf>
    <xf numFmtId="0" fontId="10" fillId="15" borderId="60" xfId="0" applyFont="1" applyFill="1" applyBorder="1" applyAlignment="1">
      <alignment horizontal="left" vertical="center" indent="1"/>
    </xf>
    <xf numFmtId="0" fontId="10" fillId="15" borderId="27" xfId="0" applyFont="1" applyFill="1" applyBorder="1" applyAlignment="1">
      <alignment horizontal="left" vertical="center" indent="1"/>
    </xf>
    <xf numFmtId="0" fontId="13" fillId="4" borderId="0" xfId="0" applyFont="1" applyFill="1" applyAlignment="1">
      <alignment horizontal="center" vertical="center"/>
    </xf>
    <xf numFmtId="0" fontId="32" fillId="14" borderId="6" xfId="0" applyFont="1" applyFill="1" applyBorder="1" applyAlignment="1">
      <alignment horizontal="center" vertical="center"/>
    </xf>
    <xf numFmtId="0" fontId="32" fillId="14" borderId="7" xfId="0" applyFont="1" applyFill="1" applyBorder="1" applyAlignment="1">
      <alignment horizontal="center" vertical="center"/>
    </xf>
    <xf numFmtId="0" fontId="32" fillId="14" borderId="8" xfId="0" applyFont="1" applyFill="1" applyBorder="1" applyAlignment="1">
      <alignment horizontal="center" vertical="center"/>
    </xf>
    <xf numFmtId="49" fontId="32" fillId="14" borderId="10" xfId="0" applyNumberFormat="1" applyFont="1" applyFill="1" applyBorder="1" applyAlignment="1">
      <alignment horizontal="center" vertical="center"/>
    </xf>
    <xf numFmtId="49" fontId="32" fillId="14" borderId="11" xfId="0" applyNumberFormat="1" applyFont="1" applyFill="1" applyBorder="1" applyAlignment="1">
      <alignment horizontal="center" vertical="center"/>
    </xf>
    <xf numFmtId="49" fontId="32" fillId="14" borderId="12" xfId="0" applyNumberFormat="1" applyFont="1" applyFill="1" applyBorder="1" applyAlignment="1">
      <alignment horizontal="center" vertical="center"/>
    </xf>
    <xf numFmtId="49" fontId="33" fillId="16" borderId="22" xfId="0" applyNumberFormat="1" applyFont="1" applyFill="1" applyBorder="1" applyAlignment="1">
      <alignment horizontal="center" vertical="center"/>
    </xf>
    <xf numFmtId="49" fontId="33" fillId="16" borderId="23" xfId="0" applyNumberFormat="1" applyFont="1" applyFill="1" applyBorder="1" applyAlignment="1">
      <alignment horizontal="center" vertical="center"/>
    </xf>
    <xf numFmtId="49" fontId="33" fillId="16" borderId="4" xfId="0" applyNumberFormat="1" applyFont="1" applyFill="1" applyBorder="1" applyAlignment="1">
      <alignment horizontal="center" vertical="center"/>
    </xf>
    <xf numFmtId="49" fontId="10" fillId="8" borderId="22" xfId="0" applyNumberFormat="1" applyFont="1" applyFill="1" applyBorder="1" applyAlignment="1">
      <alignment horizontal="center" vertical="center" wrapText="1"/>
    </xf>
    <xf numFmtId="49" fontId="10" fillId="8" borderId="23" xfId="0" applyNumberFormat="1" applyFont="1" applyFill="1" applyBorder="1" applyAlignment="1">
      <alignment horizontal="center" vertical="center" wrapText="1"/>
    </xf>
    <xf numFmtId="49" fontId="10" fillId="8" borderId="4" xfId="0" applyNumberFormat="1" applyFont="1" applyFill="1" applyBorder="1" applyAlignment="1">
      <alignment horizontal="center" vertical="center" wrapText="1"/>
    </xf>
    <xf numFmtId="49" fontId="10" fillId="9" borderId="6" xfId="0" applyNumberFormat="1" applyFont="1" applyFill="1" applyBorder="1" applyAlignment="1">
      <alignment horizontal="center" vertical="center" wrapText="1"/>
    </xf>
    <xf numFmtId="49" fontId="10" fillId="9" borderId="7" xfId="0" applyNumberFormat="1" applyFont="1" applyFill="1" applyBorder="1" applyAlignment="1">
      <alignment horizontal="center" vertical="center" wrapText="1"/>
    </xf>
    <xf numFmtId="49" fontId="10" fillId="9" borderId="8" xfId="0" applyNumberFormat="1" applyFont="1" applyFill="1" applyBorder="1" applyAlignment="1">
      <alignment horizontal="center" vertical="center" wrapText="1"/>
    </xf>
    <xf numFmtId="49" fontId="10" fillId="2" borderId="22" xfId="0" applyNumberFormat="1" applyFont="1" applyFill="1" applyBorder="1" applyAlignment="1">
      <alignment horizontal="center" vertical="center" wrapText="1"/>
    </xf>
    <xf numFmtId="49" fontId="10" fillId="2" borderId="23" xfId="0" applyNumberFormat="1" applyFont="1" applyFill="1" applyBorder="1" applyAlignment="1">
      <alignment horizontal="center" vertical="center" wrapText="1"/>
    </xf>
    <xf numFmtId="49" fontId="10" fillId="2" borderId="4" xfId="0" applyNumberFormat="1" applyFont="1" applyFill="1" applyBorder="1" applyAlignment="1">
      <alignment horizontal="center" vertical="center" wrapText="1"/>
    </xf>
    <xf numFmtId="49" fontId="10" fillId="3" borderId="22" xfId="0" applyNumberFormat="1" applyFont="1" applyFill="1" applyBorder="1" applyAlignment="1">
      <alignment horizontal="center" vertical="center" wrapText="1"/>
    </xf>
    <xf numFmtId="49" fontId="10" fillId="3" borderId="23" xfId="0" applyNumberFormat="1" applyFont="1" applyFill="1" applyBorder="1" applyAlignment="1">
      <alignment horizontal="center" vertical="center" wrapText="1"/>
    </xf>
    <xf numFmtId="49" fontId="10" fillId="3" borderId="4" xfId="0" applyNumberFormat="1" applyFont="1" applyFill="1" applyBorder="1" applyAlignment="1">
      <alignment horizontal="center" vertical="center" wrapText="1"/>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5" fillId="12" borderId="41" xfId="0" applyFont="1" applyFill="1" applyBorder="1" applyAlignment="1">
      <alignment horizontal="center"/>
    </xf>
    <xf numFmtId="0" fontId="10" fillId="6" borderId="40" xfId="0" applyFont="1" applyFill="1" applyBorder="1" applyAlignment="1">
      <alignment horizontal="center" vertical="center"/>
    </xf>
    <xf numFmtId="0" fontId="14" fillId="12" borderId="11" xfId="0" applyFont="1" applyFill="1" applyBorder="1" applyAlignment="1">
      <alignment horizontal="center" vertical="center"/>
    </xf>
    <xf numFmtId="0" fontId="14" fillId="12" borderId="0" xfId="0" applyFont="1" applyFill="1" applyAlignment="1">
      <alignment horizontal="center" vertical="center"/>
    </xf>
    <xf numFmtId="0" fontId="5" fillId="12" borderId="0" xfId="0" applyFont="1" applyFill="1" applyAlignment="1">
      <alignment horizontal="center"/>
    </xf>
    <xf numFmtId="49" fontId="9" fillId="12" borderId="6" xfId="0" applyNumberFormat="1" applyFont="1" applyFill="1" applyBorder="1" applyAlignment="1">
      <alignment horizontal="center" vertical="center"/>
    </xf>
    <xf numFmtId="49" fontId="9" fillId="12" borderId="9" xfId="0" applyNumberFormat="1" applyFont="1" applyFill="1" applyBorder="1" applyAlignment="1">
      <alignment horizontal="center" vertical="center"/>
    </xf>
    <xf numFmtId="49" fontId="9" fillId="12" borderId="10" xfId="0" applyNumberFormat="1" applyFont="1" applyFill="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28" fillId="0" borderId="8" xfId="0" applyFont="1" applyBorder="1" applyAlignment="1">
      <alignment horizontal="center" vertical="center"/>
    </xf>
    <xf numFmtId="0" fontId="25" fillId="15" borderId="22" xfId="0" applyFont="1" applyFill="1" applyBorder="1" applyAlignment="1">
      <alignment horizontal="center" vertical="center"/>
    </xf>
    <xf numFmtId="0" fontId="25" fillId="15" borderId="23" xfId="0" applyFont="1" applyFill="1" applyBorder="1" applyAlignment="1">
      <alignment horizontal="center" vertical="center"/>
    </xf>
    <xf numFmtId="0" fontId="25" fillId="15" borderId="4" xfId="0" applyFont="1" applyFill="1" applyBorder="1" applyAlignment="1">
      <alignment horizontal="center" vertical="center"/>
    </xf>
    <xf numFmtId="0" fontId="3" fillId="12" borderId="10" xfId="0" applyFont="1" applyFill="1" applyBorder="1" applyAlignment="1">
      <alignment horizontal="center" vertical="center"/>
    </xf>
    <xf numFmtId="0" fontId="3" fillId="12" borderId="11" xfId="0" applyFont="1" applyFill="1" applyBorder="1" applyAlignment="1">
      <alignment horizontal="center" vertical="center"/>
    </xf>
    <xf numFmtId="0" fontId="3" fillId="12" borderId="12" xfId="0" applyFont="1" applyFill="1" applyBorder="1" applyAlignment="1">
      <alignment horizontal="center" vertical="center"/>
    </xf>
    <xf numFmtId="0" fontId="0" fillId="12" borderId="23" xfId="0" applyFill="1" applyBorder="1" applyAlignment="1">
      <alignment horizontal="center"/>
    </xf>
    <xf numFmtId="49" fontId="27" fillId="12" borderId="0" xfId="0" applyNumberFormat="1" applyFont="1" applyFill="1" applyAlignment="1">
      <alignment horizontal="center" vertical="center"/>
    </xf>
    <xf numFmtId="49" fontId="15" fillId="12" borderId="11" xfId="0" applyNumberFormat="1" applyFont="1" applyFill="1" applyBorder="1" applyAlignment="1">
      <alignment horizontal="center" vertical="center"/>
    </xf>
    <xf numFmtId="0" fontId="28" fillId="13" borderId="22" xfId="0" applyFont="1" applyFill="1" applyBorder="1" applyAlignment="1">
      <alignment horizontal="center" vertical="center"/>
    </xf>
    <xf numFmtId="0" fontId="28" fillId="13" borderId="23" xfId="0" applyFont="1" applyFill="1" applyBorder="1" applyAlignment="1">
      <alignment horizontal="center" vertical="center"/>
    </xf>
    <xf numFmtId="0" fontId="28" fillId="13" borderId="4" xfId="0" applyFont="1" applyFill="1" applyBorder="1" applyAlignment="1">
      <alignment horizontal="center" vertical="center"/>
    </xf>
    <xf numFmtId="0" fontId="0" fillId="12" borderId="41" xfId="0" applyFill="1" applyBorder="1" applyAlignment="1">
      <alignment horizontal="center"/>
    </xf>
    <xf numFmtId="0" fontId="0" fillId="0" borderId="13" xfId="0" applyBorder="1" applyAlignment="1">
      <alignment horizontal="center" vertical="center"/>
    </xf>
    <xf numFmtId="0" fontId="0" fillId="0" borderId="20" xfId="0" applyBorder="1" applyAlignment="1">
      <alignment horizontal="center" vertical="center"/>
    </xf>
    <xf numFmtId="0" fontId="6" fillId="6" borderId="45"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47" xfId="0" applyFont="1" applyFill="1" applyBorder="1" applyAlignment="1">
      <alignment horizontal="center" vertical="center"/>
    </xf>
    <xf numFmtId="0" fontId="11" fillId="11" borderId="22" xfId="0" applyFont="1" applyFill="1" applyBorder="1" applyAlignment="1">
      <alignment horizontal="center" vertical="center"/>
    </xf>
    <xf numFmtId="0" fontId="11" fillId="11" borderId="23" xfId="0" applyFont="1" applyFill="1" applyBorder="1" applyAlignment="1">
      <alignment horizontal="center" vertical="center"/>
    </xf>
    <xf numFmtId="0" fontId="11" fillId="11" borderId="4" xfId="0" applyFont="1" applyFill="1" applyBorder="1" applyAlignment="1">
      <alignment horizontal="center" vertical="center"/>
    </xf>
    <xf numFmtId="0" fontId="0" fillId="0" borderId="18" xfId="0" applyBorder="1" applyAlignment="1">
      <alignment horizontal="center" vertical="center"/>
    </xf>
    <xf numFmtId="0" fontId="6" fillId="6" borderId="40" xfId="0" applyFont="1" applyFill="1" applyBorder="1" applyAlignment="1">
      <alignment horizontal="center" vertical="center" wrapText="1"/>
    </xf>
    <xf numFmtId="0" fontId="6" fillId="6" borderId="39" xfId="0" applyFont="1" applyFill="1" applyBorder="1" applyAlignment="1">
      <alignment horizontal="center" vertical="center" wrapText="1"/>
    </xf>
    <xf numFmtId="0" fontId="0" fillId="0" borderId="15" xfId="0" applyBorder="1" applyAlignment="1">
      <alignment horizontal="center" vertical="center"/>
    </xf>
    <xf numFmtId="0" fontId="6" fillId="15" borderId="25" xfId="0" applyFont="1" applyFill="1" applyBorder="1" applyAlignment="1">
      <alignment horizontal="center" vertical="center"/>
    </xf>
    <xf numFmtId="0" fontId="6" fillId="15" borderId="31" xfId="0" applyFont="1" applyFill="1" applyBorder="1" applyAlignment="1">
      <alignment horizontal="center" vertical="center"/>
    </xf>
    <xf numFmtId="0" fontId="6" fillId="15" borderId="38" xfId="0" applyFont="1" applyFill="1" applyBorder="1" applyAlignment="1">
      <alignment horizontal="center" vertical="center"/>
    </xf>
    <xf numFmtId="49" fontId="4" fillId="12" borderId="6" xfId="0" applyNumberFormat="1" applyFont="1" applyFill="1" applyBorder="1" applyAlignment="1">
      <alignment horizontal="center" vertical="center"/>
    </xf>
    <xf numFmtId="49" fontId="4" fillId="12" borderId="7" xfId="0" applyNumberFormat="1" applyFont="1" applyFill="1" applyBorder="1" applyAlignment="1">
      <alignment horizontal="center" vertical="center"/>
    </xf>
    <xf numFmtId="49" fontId="4" fillId="12" borderId="8" xfId="0" applyNumberFormat="1" applyFont="1" applyFill="1" applyBorder="1" applyAlignment="1">
      <alignment horizontal="center" vertical="center"/>
    </xf>
    <xf numFmtId="0" fontId="7" fillId="12" borderId="7" xfId="0" applyFont="1" applyFill="1" applyBorder="1" applyAlignment="1">
      <alignment horizontal="center" vertical="center"/>
    </xf>
    <xf numFmtId="49" fontId="4" fillId="12" borderId="9" xfId="0" applyNumberFormat="1" applyFont="1" applyFill="1" applyBorder="1" applyAlignment="1">
      <alignment horizontal="center" vertical="center"/>
    </xf>
    <xf numFmtId="0" fontId="0" fillId="12" borderId="41" xfId="0" applyFill="1" applyBorder="1" applyAlignment="1">
      <alignment horizontal="center" vertical="center"/>
    </xf>
    <xf numFmtId="0" fontId="11" fillId="5" borderId="1"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3" xfId="0" applyFont="1" applyFill="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6" fillId="6" borderId="40" xfId="0" applyFont="1" applyFill="1" applyBorder="1" applyAlignment="1">
      <alignment horizontal="center" vertical="center"/>
    </xf>
    <xf numFmtId="0" fontId="6" fillId="6" borderId="39" xfId="0" applyFont="1" applyFill="1" applyBorder="1" applyAlignment="1">
      <alignment horizontal="center" vertical="center"/>
    </xf>
    <xf numFmtId="0" fontId="6" fillId="15" borderId="26" xfId="0" applyFont="1" applyFill="1" applyBorder="1" applyAlignment="1">
      <alignment horizontal="center" vertical="center"/>
    </xf>
    <xf numFmtId="0" fontId="6" fillId="15" borderId="60" xfId="0" applyFont="1" applyFill="1" applyBorder="1" applyAlignment="1">
      <alignment horizontal="center" vertical="center"/>
    </xf>
    <xf numFmtId="0" fontId="6" fillId="15" borderId="27"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6" fillId="15" borderId="34" xfId="0" applyFont="1" applyFill="1" applyBorder="1" applyAlignment="1">
      <alignment horizontal="center" vertical="center"/>
    </xf>
    <xf numFmtId="0" fontId="6" fillId="15" borderId="35" xfId="0" applyFont="1" applyFill="1" applyBorder="1" applyAlignment="1">
      <alignment horizontal="center" vertical="center"/>
    </xf>
    <xf numFmtId="0" fontId="6" fillId="15" borderId="50" xfId="0" applyFont="1" applyFill="1" applyBorder="1" applyAlignment="1">
      <alignment horizontal="center" vertical="center"/>
    </xf>
    <xf numFmtId="0" fontId="7" fillId="12" borderId="0" xfId="0" applyFont="1" applyFill="1" applyAlignment="1">
      <alignment horizontal="center" vertical="center"/>
    </xf>
    <xf numFmtId="0" fontId="11" fillId="7" borderId="22" xfId="0" applyFont="1" applyFill="1" applyBorder="1" applyAlignment="1">
      <alignment horizontal="center" vertical="center"/>
    </xf>
    <xf numFmtId="0" fontId="11" fillId="7" borderId="23" xfId="0" applyFont="1" applyFill="1" applyBorder="1" applyAlignment="1">
      <alignment horizontal="center" vertical="center"/>
    </xf>
    <xf numFmtId="0" fontId="11" fillId="7" borderId="4" xfId="0" applyFont="1" applyFill="1" applyBorder="1" applyAlignment="1">
      <alignment horizontal="center" vertical="center"/>
    </xf>
  </cellXfs>
  <cellStyles count="2">
    <cellStyle name="Normal" xfId="0" builtinId="0"/>
    <cellStyle name="Vírgula 2" xfId="1" xr:uid="{F148B815-FFD2-4B40-97DE-B882CA3A15FD}"/>
  </cellStyles>
  <dxfs count="0"/>
  <tableStyles count="0" defaultTableStyle="TableStyleMedium2" defaultPivotStyle="PivotStyleLight16"/>
  <colors>
    <mruColors>
      <color rgb="FF000000"/>
      <color rgb="FF000099"/>
      <color rgb="FFFFCCFF"/>
      <color rgb="FFFF3399"/>
      <color rgb="FFFF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1</xdr:col>
      <xdr:colOff>76766</xdr:colOff>
      <xdr:row>1</xdr:row>
      <xdr:rowOff>28576</xdr:rowOff>
    </xdr:from>
    <xdr:to>
      <xdr:col>2</xdr:col>
      <xdr:colOff>1568597</xdr:colOff>
      <xdr:row>2</xdr:row>
      <xdr:rowOff>561</xdr:rowOff>
    </xdr:to>
    <xdr:pic>
      <xdr:nvPicPr>
        <xdr:cNvPr id="3" name="Imagem 2">
          <a:extLst>
            <a:ext uri="{FF2B5EF4-FFF2-40B4-BE49-F238E27FC236}">
              <a16:creationId xmlns:a16="http://schemas.microsoft.com/office/drawing/2014/main" id="{0CF0693F-1CBC-4D3C-86DC-F4E235F5C1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066" y="152401"/>
          <a:ext cx="1920456" cy="628649"/>
        </a:xfrm>
        <a:prstGeom prst="rect">
          <a:avLst/>
        </a:prstGeom>
      </xdr:spPr>
    </xdr:pic>
    <xdr:clientData/>
  </xdr:twoCellAnchor>
  <xdr:twoCellAnchor editAs="oneCell">
    <xdr:from>
      <xdr:col>7</xdr:col>
      <xdr:colOff>829241</xdr:colOff>
      <xdr:row>1</xdr:row>
      <xdr:rowOff>28576</xdr:rowOff>
    </xdr:from>
    <xdr:to>
      <xdr:col>7</xdr:col>
      <xdr:colOff>2749697</xdr:colOff>
      <xdr:row>2</xdr:row>
      <xdr:rowOff>561</xdr:rowOff>
    </xdr:to>
    <xdr:pic>
      <xdr:nvPicPr>
        <xdr:cNvPr id="4" name="Imagem 3">
          <a:extLst>
            <a:ext uri="{FF2B5EF4-FFF2-40B4-BE49-F238E27FC236}">
              <a16:creationId xmlns:a16="http://schemas.microsoft.com/office/drawing/2014/main" id="{243D0BCA-E985-49E8-89A6-6D2D5E07FE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16016" y="152401"/>
          <a:ext cx="1920456" cy="628649"/>
        </a:xfrm>
        <a:prstGeom prst="rect">
          <a:avLst/>
        </a:prstGeom>
      </xdr:spPr>
    </xdr:pic>
    <xdr:clientData/>
  </xdr:twoCellAnchor>
  <xdr:twoCellAnchor editAs="oneCell">
    <xdr:from>
      <xdr:col>7</xdr:col>
      <xdr:colOff>1602442</xdr:colOff>
      <xdr:row>33</xdr:row>
      <xdr:rowOff>44823</xdr:rowOff>
    </xdr:from>
    <xdr:to>
      <xdr:col>7</xdr:col>
      <xdr:colOff>2754968</xdr:colOff>
      <xdr:row>33</xdr:row>
      <xdr:rowOff>1197349</xdr:rowOff>
    </xdr:to>
    <xdr:pic>
      <xdr:nvPicPr>
        <xdr:cNvPr id="7" name="Imagem 6">
          <a:extLst>
            <a:ext uri="{FF2B5EF4-FFF2-40B4-BE49-F238E27FC236}">
              <a16:creationId xmlns:a16="http://schemas.microsoft.com/office/drawing/2014/main" id="{DDBE9A3A-B1A0-4091-80C4-5B0276F4F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30971" y="13805647"/>
          <a:ext cx="1152526" cy="11525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0</xdr:colOff>
      <xdr:row>7</xdr:row>
      <xdr:rowOff>0</xdr:rowOff>
    </xdr:from>
    <xdr:to>
      <xdr:col>18</xdr:col>
      <xdr:colOff>304800</xdr:colOff>
      <xdr:row>7</xdr:row>
      <xdr:rowOff>304800</xdr:rowOff>
    </xdr:to>
    <xdr:sp macro="" textlink="">
      <xdr:nvSpPr>
        <xdr:cNvPr id="5" name="AutoShape 1">
          <a:extLst>
            <a:ext uri="{FF2B5EF4-FFF2-40B4-BE49-F238E27FC236}">
              <a16:creationId xmlns:a16="http://schemas.microsoft.com/office/drawing/2014/main" id="{A7AF7A2E-BE22-4D7A-94E5-032E5DD93E62}"/>
            </a:ext>
          </a:extLst>
        </xdr:cNvPr>
        <xdr:cNvSpPr>
          <a:spLocks noChangeAspect="1" noChangeArrowheads="1"/>
        </xdr:cNvSpPr>
      </xdr:nvSpPr>
      <xdr:spPr bwMode="auto">
        <a:xfrm>
          <a:off x="884872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xdr:row>
      <xdr:rowOff>0</xdr:rowOff>
    </xdr:from>
    <xdr:ext cx="304800" cy="304800"/>
    <xdr:sp macro="" textlink="">
      <xdr:nvSpPr>
        <xdr:cNvPr id="9" name="AutoShape 1">
          <a:extLst>
            <a:ext uri="{FF2B5EF4-FFF2-40B4-BE49-F238E27FC236}">
              <a16:creationId xmlns:a16="http://schemas.microsoft.com/office/drawing/2014/main" id="{2D29AACB-BD86-4571-8406-9E3A1A4E1C71}"/>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10" name="AutoShape 1">
          <a:extLst>
            <a:ext uri="{FF2B5EF4-FFF2-40B4-BE49-F238E27FC236}">
              <a16:creationId xmlns:a16="http://schemas.microsoft.com/office/drawing/2014/main" id="{BC06D20B-F4ED-4139-823F-94DC7314AA53}"/>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11" name="AutoShape 1">
          <a:extLst>
            <a:ext uri="{FF2B5EF4-FFF2-40B4-BE49-F238E27FC236}">
              <a16:creationId xmlns:a16="http://schemas.microsoft.com/office/drawing/2014/main" id="{5CF86D2A-4C85-4B16-AC8C-355358CD70DD}"/>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12" name="AutoShape 1">
          <a:extLst>
            <a:ext uri="{FF2B5EF4-FFF2-40B4-BE49-F238E27FC236}">
              <a16:creationId xmlns:a16="http://schemas.microsoft.com/office/drawing/2014/main" id="{CAEFA774-1F00-4074-8D44-9599A71C0E65}"/>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13" name="AutoShape 1">
          <a:extLst>
            <a:ext uri="{FF2B5EF4-FFF2-40B4-BE49-F238E27FC236}">
              <a16:creationId xmlns:a16="http://schemas.microsoft.com/office/drawing/2014/main" id="{CD6C9CE4-11F7-45DC-8D32-86C4B886591A}"/>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14" name="AutoShape 1">
          <a:extLst>
            <a:ext uri="{FF2B5EF4-FFF2-40B4-BE49-F238E27FC236}">
              <a16:creationId xmlns:a16="http://schemas.microsoft.com/office/drawing/2014/main" id="{B115464F-6061-4F72-B33D-9802D7EA2BFF}"/>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15" name="AutoShape 1">
          <a:extLst>
            <a:ext uri="{FF2B5EF4-FFF2-40B4-BE49-F238E27FC236}">
              <a16:creationId xmlns:a16="http://schemas.microsoft.com/office/drawing/2014/main" id="{7A82E710-F57B-46A4-B418-BA8994E1E0CA}"/>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16" name="AutoShape 1">
          <a:extLst>
            <a:ext uri="{FF2B5EF4-FFF2-40B4-BE49-F238E27FC236}">
              <a16:creationId xmlns:a16="http://schemas.microsoft.com/office/drawing/2014/main" id="{00AFC4BF-78D4-42B4-B8CE-490802DCA502}"/>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19" name="AutoShape 1">
          <a:extLst>
            <a:ext uri="{FF2B5EF4-FFF2-40B4-BE49-F238E27FC236}">
              <a16:creationId xmlns:a16="http://schemas.microsoft.com/office/drawing/2014/main" id="{037E9236-2E27-4228-9B2E-8DDFB88922E8}"/>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20" name="AutoShape 1">
          <a:extLst>
            <a:ext uri="{FF2B5EF4-FFF2-40B4-BE49-F238E27FC236}">
              <a16:creationId xmlns:a16="http://schemas.microsoft.com/office/drawing/2014/main" id="{7728447F-B259-45AA-B4BE-7DC6FF94415D}"/>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21" name="AutoShape 1">
          <a:extLst>
            <a:ext uri="{FF2B5EF4-FFF2-40B4-BE49-F238E27FC236}">
              <a16:creationId xmlns:a16="http://schemas.microsoft.com/office/drawing/2014/main" id="{1C2DA6C3-8E05-4067-BF9D-F5FAC1A78843}"/>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22" name="AutoShape 1">
          <a:extLst>
            <a:ext uri="{FF2B5EF4-FFF2-40B4-BE49-F238E27FC236}">
              <a16:creationId xmlns:a16="http://schemas.microsoft.com/office/drawing/2014/main" id="{08B61C8A-4784-430F-A1FF-09C43A2FDC2B}"/>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23" name="AutoShape 1">
          <a:extLst>
            <a:ext uri="{FF2B5EF4-FFF2-40B4-BE49-F238E27FC236}">
              <a16:creationId xmlns:a16="http://schemas.microsoft.com/office/drawing/2014/main" id="{2E7538C6-0BAB-46BC-BFD7-491C83CD7E8D}"/>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24" name="AutoShape 1">
          <a:extLst>
            <a:ext uri="{FF2B5EF4-FFF2-40B4-BE49-F238E27FC236}">
              <a16:creationId xmlns:a16="http://schemas.microsoft.com/office/drawing/2014/main" id="{AE0518DA-A67A-44FC-8108-4B9DC5ACB420}"/>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25" name="AutoShape 1">
          <a:extLst>
            <a:ext uri="{FF2B5EF4-FFF2-40B4-BE49-F238E27FC236}">
              <a16:creationId xmlns:a16="http://schemas.microsoft.com/office/drawing/2014/main" id="{E23A4DAA-2136-4525-8AE5-A386AC47361B}"/>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26" name="AutoShape 1">
          <a:extLst>
            <a:ext uri="{FF2B5EF4-FFF2-40B4-BE49-F238E27FC236}">
              <a16:creationId xmlns:a16="http://schemas.microsoft.com/office/drawing/2014/main" id="{109DCA37-7350-4DDF-BC18-2ACE87EE8B6D}"/>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27" name="AutoShape 1">
          <a:extLst>
            <a:ext uri="{FF2B5EF4-FFF2-40B4-BE49-F238E27FC236}">
              <a16:creationId xmlns:a16="http://schemas.microsoft.com/office/drawing/2014/main" id="{BE24FAF6-AE4B-4D92-8D47-3AB00D0C77AA}"/>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28" name="AutoShape 1">
          <a:extLst>
            <a:ext uri="{FF2B5EF4-FFF2-40B4-BE49-F238E27FC236}">
              <a16:creationId xmlns:a16="http://schemas.microsoft.com/office/drawing/2014/main" id="{620236D7-AFEA-4836-A18B-EAA7B1150F0B}"/>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29" name="AutoShape 1">
          <a:extLst>
            <a:ext uri="{FF2B5EF4-FFF2-40B4-BE49-F238E27FC236}">
              <a16:creationId xmlns:a16="http://schemas.microsoft.com/office/drawing/2014/main" id="{93D036BE-EE53-4A14-99F9-E55DC33F99E6}"/>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30" name="AutoShape 1">
          <a:extLst>
            <a:ext uri="{FF2B5EF4-FFF2-40B4-BE49-F238E27FC236}">
              <a16:creationId xmlns:a16="http://schemas.microsoft.com/office/drawing/2014/main" id="{789B8196-E598-4463-BF31-AA7DAB1A8FBC}"/>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31" name="AutoShape 1">
          <a:extLst>
            <a:ext uri="{FF2B5EF4-FFF2-40B4-BE49-F238E27FC236}">
              <a16:creationId xmlns:a16="http://schemas.microsoft.com/office/drawing/2014/main" id="{3C386AF4-6C0E-4998-9982-49A70AC496F4}"/>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7</xdr:row>
      <xdr:rowOff>0</xdr:rowOff>
    </xdr:from>
    <xdr:ext cx="304800" cy="304800"/>
    <xdr:sp macro="" textlink="">
      <xdr:nvSpPr>
        <xdr:cNvPr id="32" name="AutoShape 1">
          <a:extLst>
            <a:ext uri="{FF2B5EF4-FFF2-40B4-BE49-F238E27FC236}">
              <a16:creationId xmlns:a16="http://schemas.microsoft.com/office/drawing/2014/main" id="{B6C5DAF1-D72F-4D74-B55B-25AE2BF79138}"/>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33" name="AutoShape 1">
          <a:extLst>
            <a:ext uri="{FF2B5EF4-FFF2-40B4-BE49-F238E27FC236}">
              <a16:creationId xmlns:a16="http://schemas.microsoft.com/office/drawing/2014/main" id="{A8CFE65A-10BF-442D-A436-85ED49CE29D4}"/>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34" name="AutoShape 1">
          <a:extLst>
            <a:ext uri="{FF2B5EF4-FFF2-40B4-BE49-F238E27FC236}">
              <a16:creationId xmlns:a16="http://schemas.microsoft.com/office/drawing/2014/main" id="{32CAF23B-9412-41F3-B20A-00716B17C967}"/>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35" name="AutoShape 1">
          <a:extLst>
            <a:ext uri="{FF2B5EF4-FFF2-40B4-BE49-F238E27FC236}">
              <a16:creationId xmlns:a16="http://schemas.microsoft.com/office/drawing/2014/main" id="{256014C4-1FC0-4D62-88DB-B56B47CEC288}"/>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2</xdr:row>
      <xdr:rowOff>0</xdr:rowOff>
    </xdr:from>
    <xdr:ext cx="304800" cy="304800"/>
    <xdr:sp macro="" textlink="">
      <xdr:nvSpPr>
        <xdr:cNvPr id="36" name="AutoShape 1">
          <a:extLst>
            <a:ext uri="{FF2B5EF4-FFF2-40B4-BE49-F238E27FC236}">
              <a16:creationId xmlns:a16="http://schemas.microsoft.com/office/drawing/2014/main" id="{C917905D-3B0E-4A5D-879E-D4EE1C24FEFF}"/>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1</xdr:row>
      <xdr:rowOff>0</xdr:rowOff>
    </xdr:from>
    <xdr:to>
      <xdr:col>18</xdr:col>
      <xdr:colOff>304800</xdr:colOff>
      <xdr:row>1</xdr:row>
      <xdr:rowOff>304800</xdr:rowOff>
    </xdr:to>
    <xdr:sp macro="" textlink="">
      <xdr:nvSpPr>
        <xdr:cNvPr id="4" name="AutoShape 1">
          <a:extLst>
            <a:ext uri="{FF2B5EF4-FFF2-40B4-BE49-F238E27FC236}">
              <a16:creationId xmlns:a16="http://schemas.microsoft.com/office/drawing/2014/main" id="{8ADF1BBF-5100-497C-A1AD-5569D1D4DBDA}"/>
            </a:ext>
          </a:extLst>
        </xdr:cNvPr>
        <xdr:cNvSpPr>
          <a:spLocks noChangeAspect="1" noChangeArrowheads="1"/>
        </xdr:cNvSpPr>
      </xdr:nvSpPr>
      <xdr:spPr bwMode="auto">
        <a:xfrm>
          <a:off x="1134427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xdr:row>
      <xdr:rowOff>0</xdr:rowOff>
    </xdr:from>
    <xdr:ext cx="304800" cy="304800"/>
    <xdr:sp macro="" textlink="">
      <xdr:nvSpPr>
        <xdr:cNvPr id="17" name="AutoShape 1">
          <a:extLst>
            <a:ext uri="{FF2B5EF4-FFF2-40B4-BE49-F238E27FC236}">
              <a16:creationId xmlns:a16="http://schemas.microsoft.com/office/drawing/2014/main" id="{1596DCF8-B0E4-4E95-824C-BEB759128B45}"/>
            </a:ext>
          </a:extLst>
        </xdr:cNvPr>
        <xdr:cNvSpPr>
          <a:spLocks noChangeAspect="1" noChangeArrowheads="1"/>
        </xdr:cNvSpPr>
      </xdr:nvSpPr>
      <xdr:spPr bwMode="auto">
        <a:xfrm>
          <a:off x="1134427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1</xdr:row>
      <xdr:rowOff>0</xdr:rowOff>
    </xdr:from>
    <xdr:to>
      <xdr:col>18</xdr:col>
      <xdr:colOff>304800</xdr:colOff>
      <xdr:row>1</xdr:row>
      <xdr:rowOff>304800</xdr:rowOff>
    </xdr:to>
    <xdr:sp macro="" textlink="">
      <xdr:nvSpPr>
        <xdr:cNvPr id="18" name="AutoShape 1">
          <a:extLst>
            <a:ext uri="{FF2B5EF4-FFF2-40B4-BE49-F238E27FC236}">
              <a16:creationId xmlns:a16="http://schemas.microsoft.com/office/drawing/2014/main" id="{2C6EE2A4-5AEA-440E-9D8F-5BD5A429240B}"/>
            </a:ext>
          </a:extLst>
        </xdr:cNvPr>
        <xdr:cNvSpPr>
          <a:spLocks noChangeAspect="1" noChangeArrowheads="1"/>
        </xdr:cNvSpPr>
      </xdr:nvSpPr>
      <xdr:spPr bwMode="auto">
        <a:xfrm>
          <a:off x="136588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xdr:row>
      <xdr:rowOff>0</xdr:rowOff>
    </xdr:from>
    <xdr:ext cx="304800" cy="304800"/>
    <xdr:sp macro="" textlink="">
      <xdr:nvSpPr>
        <xdr:cNvPr id="37" name="AutoShape 1">
          <a:extLst>
            <a:ext uri="{FF2B5EF4-FFF2-40B4-BE49-F238E27FC236}">
              <a16:creationId xmlns:a16="http://schemas.microsoft.com/office/drawing/2014/main" id="{F5E4D832-DD5D-4E83-A7EB-8FEEA33762A8}"/>
            </a:ext>
          </a:extLst>
        </xdr:cNvPr>
        <xdr:cNvSpPr>
          <a:spLocks noChangeAspect="1" noChangeArrowheads="1"/>
        </xdr:cNvSpPr>
      </xdr:nvSpPr>
      <xdr:spPr bwMode="auto">
        <a:xfrm>
          <a:off x="136588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18</xdr:col>
      <xdr:colOff>0</xdr:colOff>
      <xdr:row>1</xdr:row>
      <xdr:rowOff>0</xdr:rowOff>
    </xdr:from>
    <xdr:to>
      <xdr:col>18</xdr:col>
      <xdr:colOff>304800</xdr:colOff>
      <xdr:row>1</xdr:row>
      <xdr:rowOff>304800</xdr:rowOff>
    </xdr:to>
    <xdr:sp macro="" textlink="">
      <xdr:nvSpPr>
        <xdr:cNvPr id="38" name="AutoShape 1">
          <a:extLst>
            <a:ext uri="{FF2B5EF4-FFF2-40B4-BE49-F238E27FC236}">
              <a16:creationId xmlns:a16="http://schemas.microsoft.com/office/drawing/2014/main" id="{D3698023-F0EF-470F-AB5C-D3FCB158E57C}"/>
            </a:ext>
          </a:extLst>
        </xdr:cNvPr>
        <xdr:cNvSpPr>
          <a:spLocks noChangeAspect="1" noChangeArrowheads="1"/>
        </xdr:cNvSpPr>
      </xdr:nvSpPr>
      <xdr:spPr bwMode="auto">
        <a:xfrm>
          <a:off x="136588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xdr:row>
      <xdr:rowOff>0</xdr:rowOff>
    </xdr:from>
    <xdr:ext cx="304800" cy="304800"/>
    <xdr:sp macro="" textlink="">
      <xdr:nvSpPr>
        <xdr:cNvPr id="39" name="AutoShape 1">
          <a:extLst>
            <a:ext uri="{FF2B5EF4-FFF2-40B4-BE49-F238E27FC236}">
              <a16:creationId xmlns:a16="http://schemas.microsoft.com/office/drawing/2014/main" id="{2145BB01-5B17-4875-912C-EBFEAE651D5B}"/>
            </a:ext>
          </a:extLst>
        </xdr:cNvPr>
        <xdr:cNvSpPr>
          <a:spLocks noChangeAspect="1" noChangeArrowheads="1"/>
        </xdr:cNvSpPr>
      </xdr:nvSpPr>
      <xdr:spPr bwMode="auto">
        <a:xfrm>
          <a:off x="136588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132796</xdr:colOff>
      <xdr:row>1</xdr:row>
      <xdr:rowOff>151840</xdr:rowOff>
    </xdr:from>
    <xdr:to>
      <xdr:col>2</xdr:col>
      <xdr:colOff>1945598</xdr:colOff>
      <xdr:row>2</xdr:row>
      <xdr:rowOff>212911</xdr:rowOff>
    </xdr:to>
    <xdr:pic>
      <xdr:nvPicPr>
        <xdr:cNvPr id="2" name="Imagem 1">
          <a:extLst>
            <a:ext uri="{FF2B5EF4-FFF2-40B4-BE49-F238E27FC236}">
              <a16:creationId xmlns:a16="http://schemas.microsoft.com/office/drawing/2014/main" id="{00E6CD08-5D00-41D2-AA1A-C410FF972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4855" y="275105"/>
          <a:ext cx="2529978" cy="632571"/>
        </a:xfrm>
        <a:prstGeom prst="rect">
          <a:avLst/>
        </a:prstGeom>
      </xdr:spPr>
    </xdr:pic>
    <xdr:clientData/>
  </xdr:twoCellAnchor>
  <xdr:twoCellAnchor editAs="oneCell">
    <xdr:from>
      <xdr:col>14</xdr:col>
      <xdr:colOff>31943</xdr:colOff>
      <xdr:row>1</xdr:row>
      <xdr:rowOff>151840</xdr:rowOff>
    </xdr:from>
    <xdr:to>
      <xdr:col>15</xdr:col>
      <xdr:colOff>242303</xdr:colOff>
      <xdr:row>2</xdr:row>
      <xdr:rowOff>212911</xdr:rowOff>
    </xdr:to>
    <xdr:pic>
      <xdr:nvPicPr>
        <xdr:cNvPr id="41" name="Imagem 40">
          <a:extLst>
            <a:ext uri="{FF2B5EF4-FFF2-40B4-BE49-F238E27FC236}">
              <a16:creationId xmlns:a16="http://schemas.microsoft.com/office/drawing/2014/main" id="{96A8E2F5-715D-C289-D76B-B234914A9E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52443" y="275105"/>
          <a:ext cx="2529978" cy="632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99738</xdr:colOff>
      <xdr:row>1</xdr:row>
      <xdr:rowOff>185458</xdr:rowOff>
    </xdr:from>
    <xdr:to>
      <xdr:col>4</xdr:col>
      <xdr:colOff>260871</xdr:colOff>
      <xdr:row>2</xdr:row>
      <xdr:rowOff>90768</xdr:rowOff>
    </xdr:to>
    <xdr:pic>
      <xdr:nvPicPr>
        <xdr:cNvPr id="3" name="Imagem 2">
          <a:extLst>
            <a:ext uri="{FF2B5EF4-FFF2-40B4-BE49-F238E27FC236}">
              <a16:creationId xmlns:a16="http://schemas.microsoft.com/office/drawing/2014/main" id="{7BBE5AB5-7B76-4602-8BF9-7FBF31A7C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038" y="309283"/>
          <a:ext cx="1904208" cy="476810"/>
        </a:xfrm>
        <a:prstGeom prst="rect">
          <a:avLst/>
        </a:prstGeom>
      </xdr:spPr>
    </xdr:pic>
    <xdr:clientData/>
  </xdr:twoCellAnchor>
  <xdr:twoCellAnchor editAs="oneCell">
    <xdr:from>
      <xdr:col>10</xdr:col>
      <xdr:colOff>899838</xdr:colOff>
      <xdr:row>1</xdr:row>
      <xdr:rowOff>185458</xdr:rowOff>
    </xdr:from>
    <xdr:to>
      <xdr:col>11</xdr:col>
      <xdr:colOff>489471</xdr:colOff>
      <xdr:row>2</xdr:row>
      <xdr:rowOff>90768</xdr:rowOff>
    </xdr:to>
    <xdr:pic>
      <xdr:nvPicPr>
        <xdr:cNvPr id="8" name="Imagem 7">
          <a:extLst>
            <a:ext uri="{FF2B5EF4-FFF2-40B4-BE49-F238E27FC236}">
              <a16:creationId xmlns:a16="http://schemas.microsoft.com/office/drawing/2014/main" id="{82068186-D6B2-B4D6-1093-499BECE4EA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10263" y="309283"/>
          <a:ext cx="1904208" cy="4768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18</xdr:col>
      <xdr:colOff>0</xdr:colOff>
      <xdr:row>4</xdr:row>
      <xdr:rowOff>0</xdr:rowOff>
    </xdr:from>
    <xdr:to>
      <xdr:col>18</xdr:col>
      <xdr:colOff>304800</xdr:colOff>
      <xdr:row>4</xdr:row>
      <xdr:rowOff>304800</xdr:rowOff>
    </xdr:to>
    <xdr:sp macro="" textlink="">
      <xdr:nvSpPr>
        <xdr:cNvPr id="5" name="AutoShape 1">
          <a:extLst>
            <a:ext uri="{FF2B5EF4-FFF2-40B4-BE49-F238E27FC236}">
              <a16:creationId xmlns:a16="http://schemas.microsoft.com/office/drawing/2014/main" id="{DF001E2B-3275-4B8D-803A-318750986B01}"/>
            </a:ext>
          </a:extLst>
        </xdr:cNvPr>
        <xdr:cNvSpPr>
          <a:spLocks noChangeAspect="1" noChangeArrowheads="1"/>
        </xdr:cNvSpPr>
      </xdr:nvSpPr>
      <xdr:spPr bwMode="auto">
        <a:xfrm>
          <a:off x="13163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18</xdr:col>
      <xdr:colOff>0</xdr:colOff>
      <xdr:row>1</xdr:row>
      <xdr:rowOff>0</xdr:rowOff>
    </xdr:from>
    <xdr:ext cx="304800" cy="304800"/>
    <xdr:sp macro="" textlink="">
      <xdr:nvSpPr>
        <xdr:cNvPr id="10" name="AutoShape 1">
          <a:extLst>
            <a:ext uri="{FF2B5EF4-FFF2-40B4-BE49-F238E27FC236}">
              <a16:creationId xmlns:a16="http://schemas.microsoft.com/office/drawing/2014/main" id="{7046617C-AB6E-4C87-A599-5871B235D9C1}"/>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1</xdr:row>
      <xdr:rowOff>0</xdr:rowOff>
    </xdr:from>
    <xdr:ext cx="304800" cy="304800"/>
    <xdr:sp macro="" textlink="">
      <xdr:nvSpPr>
        <xdr:cNvPr id="11" name="AutoShape 1">
          <a:extLst>
            <a:ext uri="{FF2B5EF4-FFF2-40B4-BE49-F238E27FC236}">
              <a16:creationId xmlns:a16="http://schemas.microsoft.com/office/drawing/2014/main" id="{08ED106D-717A-44A3-AAAD-EAED67ABE6D6}"/>
            </a:ext>
          </a:extLst>
        </xdr:cNvPr>
        <xdr:cNvSpPr>
          <a:spLocks noChangeAspect="1" noChangeArrowheads="1"/>
        </xdr:cNvSpPr>
      </xdr:nvSpPr>
      <xdr:spPr bwMode="auto">
        <a:xfrm>
          <a:off x="13163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3</xdr:row>
      <xdr:rowOff>0</xdr:rowOff>
    </xdr:from>
    <xdr:ext cx="304800" cy="304800"/>
    <xdr:sp macro="" textlink="">
      <xdr:nvSpPr>
        <xdr:cNvPr id="12" name="AutoShape 1">
          <a:extLst>
            <a:ext uri="{FF2B5EF4-FFF2-40B4-BE49-F238E27FC236}">
              <a16:creationId xmlns:a16="http://schemas.microsoft.com/office/drawing/2014/main" id="{A59ED0E8-D531-47DB-9B2C-FD5CF7DE1DF5}"/>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3</xdr:row>
      <xdr:rowOff>0</xdr:rowOff>
    </xdr:from>
    <xdr:ext cx="304800" cy="304800"/>
    <xdr:sp macro="" textlink="">
      <xdr:nvSpPr>
        <xdr:cNvPr id="13" name="AutoShape 1">
          <a:extLst>
            <a:ext uri="{FF2B5EF4-FFF2-40B4-BE49-F238E27FC236}">
              <a16:creationId xmlns:a16="http://schemas.microsoft.com/office/drawing/2014/main" id="{737094ED-2EA9-4CD5-ADA9-E960E3D36E6D}"/>
            </a:ext>
          </a:extLst>
        </xdr:cNvPr>
        <xdr:cNvSpPr>
          <a:spLocks noChangeAspect="1" noChangeArrowheads="1"/>
        </xdr:cNvSpPr>
      </xdr:nvSpPr>
      <xdr:spPr bwMode="auto">
        <a:xfrm>
          <a:off x="13163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4</xdr:row>
      <xdr:rowOff>0</xdr:rowOff>
    </xdr:from>
    <xdr:ext cx="304800" cy="304800"/>
    <xdr:sp macro="" textlink="">
      <xdr:nvSpPr>
        <xdr:cNvPr id="14" name="AutoShape 1">
          <a:extLst>
            <a:ext uri="{FF2B5EF4-FFF2-40B4-BE49-F238E27FC236}">
              <a16:creationId xmlns:a16="http://schemas.microsoft.com/office/drawing/2014/main" id="{97D32C49-E550-4332-8447-1DD697F75466}"/>
            </a:ext>
          </a:extLst>
        </xdr:cNvPr>
        <xdr:cNvSpPr>
          <a:spLocks noChangeAspect="1" noChangeArrowheads="1"/>
        </xdr:cNvSpPr>
      </xdr:nvSpPr>
      <xdr:spPr bwMode="auto">
        <a:xfrm>
          <a:off x="13877925"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4</xdr:row>
      <xdr:rowOff>0</xdr:rowOff>
    </xdr:from>
    <xdr:ext cx="304800" cy="304800"/>
    <xdr:sp macro="" textlink="">
      <xdr:nvSpPr>
        <xdr:cNvPr id="15" name="AutoShape 1">
          <a:extLst>
            <a:ext uri="{FF2B5EF4-FFF2-40B4-BE49-F238E27FC236}">
              <a16:creationId xmlns:a16="http://schemas.microsoft.com/office/drawing/2014/main" id="{99483642-F7C4-4AE8-908E-A095AC55BF78}"/>
            </a:ext>
          </a:extLst>
        </xdr:cNvPr>
        <xdr:cNvSpPr>
          <a:spLocks noChangeAspect="1" noChangeArrowheads="1"/>
        </xdr:cNvSpPr>
      </xdr:nvSpPr>
      <xdr:spPr bwMode="auto">
        <a:xfrm>
          <a:off x="13877925"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xdr:row>
      <xdr:rowOff>0</xdr:rowOff>
    </xdr:from>
    <xdr:ext cx="304800" cy="304800"/>
    <xdr:sp macro="" textlink="">
      <xdr:nvSpPr>
        <xdr:cNvPr id="16" name="AutoShape 1">
          <a:extLst>
            <a:ext uri="{FF2B5EF4-FFF2-40B4-BE49-F238E27FC236}">
              <a16:creationId xmlns:a16="http://schemas.microsoft.com/office/drawing/2014/main" id="{46ACBAEC-CFAD-4E6E-8150-F4C7EC00BBF6}"/>
            </a:ext>
          </a:extLst>
        </xdr:cNvPr>
        <xdr:cNvSpPr>
          <a:spLocks noChangeAspect="1" noChangeArrowheads="1"/>
        </xdr:cNvSpPr>
      </xdr:nvSpPr>
      <xdr:spPr bwMode="auto">
        <a:xfrm>
          <a:off x="1387792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19</xdr:col>
      <xdr:colOff>0</xdr:colOff>
      <xdr:row>1</xdr:row>
      <xdr:rowOff>0</xdr:rowOff>
    </xdr:from>
    <xdr:ext cx="304800" cy="304800"/>
    <xdr:sp macro="" textlink="">
      <xdr:nvSpPr>
        <xdr:cNvPr id="17" name="AutoShape 1">
          <a:extLst>
            <a:ext uri="{FF2B5EF4-FFF2-40B4-BE49-F238E27FC236}">
              <a16:creationId xmlns:a16="http://schemas.microsoft.com/office/drawing/2014/main" id="{F6469FE3-85F4-4EE4-A2F1-4D80A8D4D8D1}"/>
            </a:ext>
          </a:extLst>
        </xdr:cNvPr>
        <xdr:cNvSpPr>
          <a:spLocks noChangeAspect="1" noChangeArrowheads="1"/>
        </xdr:cNvSpPr>
      </xdr:nvSpPr>
      <xdr:spPr bwMode="auto">
        <a:xfrm>
          <a:off x="1387792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xdr:row>
      <xdr:rowOff>0</xdr:rowOff>
    </xdr:from>
    <xdr:ext cx="304800" cy="304800"/>
    <xdr:sp macro="" textlink="">
      <xdr:nvSpPr>
        <xdr:cNvPr id="18" name="AutoShape 1">
          <a:extLst>
            <a:ext uri="{FF2B5EF4-FFF2-40B4-BE49-F238E27FC236}">
              <a16:creationId xmlns:a16="http://schemas.microsoft.com/office/drawing/2014/main" id="{FAE9849A-934C-4D49-89F2-CBB81087F5DD}"/>
            </a:ext>
          </a:extLst>
        </xdr:cNvPr>
        <xdr:cNvSpPr>
          <a:spLocks noChangeAspect="1" noChangeArrowheads="1"/>
        </xdr:cNvSpPr>
      </xdr:nvSpPr>
      <xdr:spPr bwMode="auto">
        <a:xfrm>
          <a:off x="15925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4</xdr:row>
      <xdr:rowOff>0</xdr:rowOff>
    </xdr:from>
    <xdr:ext cx="304800" cy="304800"/>
    <xdr:sp macro="" textlink="">
      <xdr:nvSpPr>
        <xdr:cNvPr id="19" name="AutoShape 1">
          <a:extLst>
            <a:ext uri="{FF2B5EF4-FFF2-40B4-BE49-F238E27FC236}">
              <a16:creationId xmlns:a16="http://schemas.microsoft.com/office/drawing/2014/main" id="{3BA8E69B-29D3-423D-8E25-58F10B00B462}"/>
            </a:ext>
          </a:extLst>
        </xdr:cNvPr>
        <xdr:cNvSpPr>
          <a:spLocks noChangeAspect="1" noChangeArrowheads="1"/>
        </xdr:cNvSpPr>
      </xdr:nvSpPr>
      <xdr:spPr bwMode="auto">
        <a:xfrm>
          <a:off x="1592580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xdr:row>
      <xdr:rowOff>0</xdr:rowOff>
    </xdr:from>
    <xdr:ext cx="304800" cy="304800"/>
    <xdr:sp macro="" textlink="">
      <xdr:nvSpPr>
        <xdr:cNvPr id="20" name="AutoShape 1">
          <a:extLst>
            <a:ext uri="{FF2B5EF4-FFF2-40B4-BE49-F238E27FC236}">
              <a16:creationId xmlns:a16="http://schemas.microsoft.com/office/drawing/2014/main" id="{D8B8104C-9826-437D-85DD-6801456197FB}"/>
            </a:ext>
          </a:extLst>
        </xdr:cNvPr>
        <xdr:cNvSpPr>
          <a:spLocks noChangeAspect="1" noChangeArrowheads="1"/>
        </xdr:cNvSpPr>
      </xdr:nvSpPr>
      <xdr:spPr bwMode="auto">
        <a:xfrm>
          <a:off x="1592580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1</xdr:row>
      <xdr:rowOff>0</xdr:rowOff>
    </xdr:from>
    <xdr:ext cx="304800" cy="304800"/>
    <xdr:sp macro="" textlink="">
      <xdr:nvSpPr>
        <xdr:cNvPr id="21" name="AutoShape 1">
          <a:extLst>
            <a:ext uri="{FF2B5EF4-FFF2-40B4-BE49-F238E27FC236}">
              <a16:creationId xmlns:a16="http://schemas.microsoft.com/office/drawing/2014/main" id="{B3B9CCEB-3016-414F-B3E5-18B14D58D2E8}"/>
            </a:ext>
          </a:extLst>
        </xdr:cNvPr>
        <xdr:cNvSpPr>
          <a:spLocks noChangeAspect="1" noChangeArrowheads="1"/>
        </xdr:cNvSpPr>
      </xdr:nvSpPr>
      <xdr:spPr bwMode="auto">
        <a:xfrm>
          <a:off x="1592580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xdr:row>
      <xdr:rowOff>0</xdr:rowOff>
    </xdr:from>
    <xdr:ext cx="304800" cy="304800"/>
    <xdr:sp macro="" textlink="">
      <xdr:nvSpPr>
        <xdr:cNvPr id="22" name="AutoShape 1">
          <a:extLst>
            <a:ext uri="{FF2B5EF4-FFF2-40B4-BE49-F238E27FC236}">
              <a16:creationId xmlns:a16="http://schemas.microsoft.com/office/drawing/2014/main" id="{95C52C39-184B-4776-8AA0-5B2BB090E6C1}"/>
            </a:ext>
          </a:extLst>
        </xdr:cNvPr>
        <xdr:cNvSpPr>
          <a:spLocks noChangeAspect="1" noChangeArrowheads="1"/>
        </xdr:cNvSpPr>
      </xdr:nvSpPr>
      <xdr:spPr bwMode="auto">
        <a:xfrm>
          <a:off x="1592580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20</xdr:col>
      <xdr:colOff>0</xdr:colOff>
      <xdr:row>3</xdr:row>
      <xdr:rowOff>0</xdr:rowOff>
    </xdr:from>
    <xdr:ext cx="304800" cy="304800"/>
    <xdr:sp macro="" textlink="">
      <xdr:nvSpPr>
        <xdr:cNvPr id="23" name="AutoShape 1">
          <a:extLst>
            <a:ext uri="{FF2B5EF4-FFF2-40B4-BE49-F238E27FC236}">
              <a16:creationId xmlns:a16="http://schemas.microsoft.com/office/drawing/2014/main" id="{DD5510D9-B5B1-481E-872A-A8F525FC2FEC}"/>
            </a:ext>
          </a:extLst>
        </xdr:cNvPr>
        <xdr:cNvSpPr>
          <a:spLocks noChangeAspect="1" noChangeArrowheads="1"/>
        </xdr:cNvSpPr>
      </xdr:nvSpPr>
      <xdr:spPr bwMode="auto">
        <a:xfrm>
          <a:off x="1592580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4</xdr:row>
      <xdr:rowOff>0</xdr:rowOff>
    </xdr:from>
    <xdr:ext cx="304800" cy="304800"/>
    <xdr:sp macro="" textlink="">
      <xdr:nvSpPr>
        <xdr:cNvPr id="24" name="AutoShape 1">
          <a:extLst>
            <a:ext uri="{FF2B5EF4-FFF2-40B4-BE49-F238E27FC236}">
              <a16:creationId xmlns:a16="http://schemas.microsoft.com/office/drawing/2014/main" id="{42BDCC74-D1B9-4C22-84EF-97A6DDDE54E2}"/>
            </a:ext>
          </a:extLst>
        </xdr:cNvPr>
        <xdr:cNvSpPr>
          <a:spLocks noChangeAspect="1" noChangeArrowheads="1"/>
        </xdr:cNvSpPr>
      </xdr:nvSpPr>
      <xdr:spPr bwMode="auto">
        <a:xfrm>
          <a:off x="16640175"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xdr:row>
      <xdr:rowOff>0</xdr:rowOff>
    </xdr:from>
    <xdr:ext cx="304800" cy="304800"/>
    <xdr:sp macro="" textlink="">
      <xdr:nvSpPr>
        <xdr:cNvPr id="26" name="AutoShape 1">
          <a:extLst>
            <a:ext uri="{FF2B5EF4-FFF2-40B4-BE49-F238E27FC236}">
              <a16:creationId xmlns:a16="http://schemas.microsoft.com/office/drawing/2014/main" id="{B062F956-F4DF-4BF5-8197-E8037E5DF260}"/>
            </a:ext>
          </a:extLst>
        </xdr:cNvPr>
        <xdr:cNvSpPr>
          <a:spLocks noChangeAspect="1" noChangeArrowheads="1"/>
        </xdr:cNvSpPr>
      </xdr:nvSpPr>
      <xdr:spPr bwMode="auto">
        <a:xfrm>
          <a:off x="1664017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21</xdr:col>
      <xdr:colOff>0</xdr:colOff>
      <xdr:row>1</xdr:row>
      <xdr:rowOff>0</xdr:rowOff>
    </xdr:from>
    <xdr:ext cx="304800" cy="304800"/>
    <xdr:sp macro="" textlink="">
      <xdr:nvSpPr>
        <xdr:cNvPr id="27" name="AutoShape 1">
          <a:extLst>
            <a:ext uri="{FF2B5EF4-FFF2-40B4-BE49-F238E27FC236}">
              <a16:creationId xmlns:a16="http://schemas.microsoft.com/office/drawing/2014/main" id="{016DAA13-9CD1-4E33-B836-46FA4B4359A4}"/>
            </a:ext>
          </a:extLst>
        </xdr:cNvPr>
        <xdr:cNvSpPr>
          <a:spLocks noChangeAspect="1" noChangeArrowheads="1"/>
        </xdr:cNvSpPr>
      </xdr:nvSpPr>
      <xdr:spPr bwMode="auto">
        <a:xfrm>
          <a:off x="16640175"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xdr:row>
      <xdr:rowOff>0</xdr:rowOff>
    </xdr:from>
    <xdr:ext cx="304800" cy="304800"/>
    <xdr:sp macro="" textlink="">
      <xdr:nvSpPr>
        <xdr:cNvPr id="30" name="AutoShape 1">
          <a:extLst>
            <a:ext uri="{FF2B5EF4-FFF2-40B4-BE49-F238E27FC236}">
              <a16:creationId xmlns:a16="http://schemas.microsoft.com/office/drawing/2014/main" id="{67ACC0D4-D3F5-4F05-B66B-BEA03A79C736}"/>
            </a:ext>
          </a:extLst>
        </xdr:cNvPr>
        <xdr:cNvSpPr>
          <a:spLocks noChangeAspect="1" noChangeArrowheads="1"/>
        </xdr:cNvSpPr>
      </xdr:nvSpPr>
      <xdr:spPr bwMode="auto">
        <a:xfrm>
          <a:off x="17354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4</xdr:row>
      <xdr:rowOff>0</xdr:rowOff>
    </xdr:from>
    <xdr:ext cx="304800" cy="304800"/>
    <xdr:sp macro="" textlink="">
      <xdr:nvSpPr>
        <xdr:cNvPr id="31" name="AutoShape 1">
          <a:extLst>
            <a:ext uri="{FF2B5EF4-FFF2-40B4-BE49-F238E27FC236}">
              <a16:creationId xmlns:a16="http://schemas.microsoft.com/office/drawing/2014/main" id="{E4BA0B48-2CC5-4866-A9C6-2B321048E08F}"/>
            </a:ext>
          </a:extLst>
        </xdr:cNvPr>
        <xdr:cNvSpPr>
          <a:spLocks noChangeAspect="1" noChangeArrowheads="1"/>
        </xdr:cNvSpPr>
      </xdr:nvSpPr>
      <xdr:spPr bwMode="auto">
        <a:xfrm>
          <a:off x="17354550" y="13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1</xdr:row>
      <xdr:rowOff>0</xdr:rowOff>
    </xdr:from>
    <xdr:ext cx="304800" cy="304800"/>
    <xdr:sp macro="" textlink="">
      <xdr:nvSpPr>
        <xdr:cNvPr id="32" name="AutoShape 1">
          <a:extLst>
            <a:ext uri="{FF2B5EF4-FFF2-40B4-BE49-F238E27FC236}">
              <a16:creationId xmlns:a16="http://schemas.microsoft.com/office/drawing/2014/main" id="{E902F01B-4E8A-42CF-9039-583AAA414616}"/>
            </a:ext>
          </a:extLst>
        </xdr:cNvPr>
        <xdr:cNvSpPr>
          <a:spLocks noChangeAspect="1" noChangeArrowheads="1"/>
        </xdr:cNvSpPr>
      </xdr:nvSpPr>
      <xdr:spPr bwMode="auto">
        <a:xfrm>
          <a:off x="17354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1</xdr:row>
      <xdr:rowOff>0</xdr:rowOff>
    </xdr:from>
    <xdr:ext cx="304800" cy="304800"/>
    <xdr:sp macro="" textlink="">
      <xdr:nvSpPr>
        <xdr:cNvPr id="33" name="AutoShape 1">
          <a:extLst>
            <a:ext uri="{FF2B5EF4-FFF2-40B4-BE49-F238E27FC236}">
              <a16:creationId xmlns:a16="http://schemas.microsoft.com/office/drawing/2014/main" id="{7589BA64-2EAE-4B72-8E13-B3FC777D2BF7}"/>
            </a:ext>
          </a:extLst>
        </xdr:cNvPr>
        <xdr:cNvSpPr>
          <a:spLocks noChangeAspect="1" noChangeArrowheads="1"/>
        </xdr:cNvSpPr>
      </xdr:nvSpPr>
      <xdr:spPr bwMode="auto">
        <a:xfrm>
          <a:off x="17354550" y="1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xdr:row>
      <xdr:rowOff>0</xdr:rowOff>
    </xdr:from>
    <xdr:ext cx="304800" cy="304800"/>
    <xdr:sp macro="" textlink="">
      <xdr:nvSpPr>
        <xdr:cNvPr id="34" name="AutoShape 1">
          <a:extLst>
            <a:ext uri="{FF2B5EF4-FFF2-40B4-BE49-F238E27FC236}">
              <a16:creationId xmlns:a16="http://schemas.microsoft.com/office/drawing/2014/main" id="{1B639B75-788E-4D03-AE6B-3E6F5A7C8DE0}"/>
            </a:ext>
          </a:extLst>
        </xdr:cNvPr>
        <xdr:cNvSpPr>
          <a:spLocks noChangeAspect="1" noChangeArrowheads="1"/>
        </xdr:cNvSpPr>
      </xdr:nvSpPr>
      <xdr:spPr bwMode="auto">
        <a:xfrm>
          <a:off x="17354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22</xdr:col>
      <xdr:colOff>0</xdr:colOff>
      <xdr:row>3</xdr:row>
      <xdr:rowOff>0</xdr:rowOff>
    </xdr:from>
    <xdr:ext cx="304800" cy="304800"/>
    <xdr:sp macro="" textlink="">
      <xdr:nvSpPr>
        <xdr:cNvPr id="35" name="AutoShape 1">
          <a:extLst>
            <a:ext uri="{FF2B5EF4-FFF2-40B4-BE49-F238E27FC236}">
              <a16:creationId xmlns:a16="http://schemas.microsoft.com/office/drawing/2014/main" id="{2D76983B-8EBF-41D2-96E7-73EA39F1D939}"/>
            </a:ext>
          </a:extLst>
        </xdr:cNvPr>
        <xdr:cNvSpPr>
          <a:spLocks noChangeAspect="1" noChangeArrowheads="1"/>
        </xdr:cNvSpPr>
      </xdr:nvSpPr>
      <xdr:spPr bwMode="auto">
        <a:xfrm>
          <a:off x="17354550" y="89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152400</xdr:colOff>
      <xdr:row>1</xdr:row>
      <xdr:rowOff>152400</xdr:rowOff>
    </xdr:from>
    <xdr:to>
      <xdr:col>3</xdr:col>
      <xdr:colOff>272591</xdr:colOff>
      <xdr:row>2</xdr:row>
      <xdr:rowOff>152400</xdr:rowOff>
    </xdr:to>
    <xdr:pic>
      <xdr:nvPicPr>
        <xdr:cNvPr id="8" name="Imagem 7">
          <a:extLst>
            <a:ext uri="{FF2B5EF4-FFF2-40B4-BE49-F238E27FC236}">
              <a16:creationId xmlns:a16="http://schemas.microsoft.com/office/drawing/2014/main" id="{91085B3D-601B-4051-9E45-578338A51B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6700" y="276225"/>
          <a:ext cx="2282366" cy="571500"/>
        </a:xfrm>
        <a:prstGeom prst="rect">
          <a:avLst/>
        </a:prstGeom>
      </xdr:spPr>
    </xdr:pic>
    <xdr:clientData/>
  </xdr:twoCellAnchor>
  <xdr:twoCellAnchor editAs="oneCell">
    <xdr:from>
      <xdr:col>13</xdr:col>
      <xdr:colOff>1200150</xdr:colOff>
      <xdr:row>1</xdr:row>
      <xdr:rowOff>152400</xdr:rowOff>
    </xdr:from>
    <xdr:to>
      <xdr:col>15</xdr:col>
      <xdr:colOff>444041</xdr:colOff>
      <xdr:row>2</xdr:row>
      <xdr:rowOff>152400</xdr:rowOff>
    </xdr:to>
    <xdr:pic>
      <xdr:nvPicPr>
        <xdr:cNvPr id="9" name="Imagem 8">
          <a:extLst>
            <a:ext uri="{FF2B5EF4-FFF2-40B4-BE49-F238E27FC236}">
              <a16:creationId xmlns:a16="http://schemas.microsoft.com/office/drawing/2014/main" id="{A164B102-B5CA-DF98-656A-A595E2CB2FA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96525" y="276225"/>
          <a:ext cx="2282366" cy="5715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4AEB-19D6-412B-A7A9-765E184D18C7}">
  <sheetPr>
    <pageSetUpPr fitToPage="1"/>
  </sheetPr>
  <dimension ref="A1:I35"/>
  <sheetViews>
    <sheetView showGridLines="0" topLeftCell="A28" zoomScale="85" zoomScaleNormal="85" workbookViewId="0">
      <selection activeCell="A35" sqref="A1:I35"/>
    </sheetView>
  </sheetViews>
  <sheetFormatPr baseColWidth="10" defaultColWidth="8.83203125" defaultRowHeight="15" x14ac:dyDescent="0.2"/>
  <cols>
    <col min="1" max="1" width="1.6640625" customWidth="1"/>
    <col min="2" max="2" width="6.5" customWidth="1"/>
    <col min="3" max="3" width="43.6640625" customWidth="1"/>
    <col min="4" max="4" width="30.6640625" customWidth="1"/>
    <col min="5" max="5" width="1.6640625" customWidth="1"/>
    <col min="6" max="6" width="10.6640625" customWidth="1"/>
    <col min="7" max="7" width="34.5" customWidth="1"/>
    <col min="8" max="8" width="41.83203125" customWidth="1"/>
    <col min="9" max="9" width="1.6640625" customWidth="1"/>
  </cols>
  <sheetData>
    <row r="1" spans="1:9" ht="10" customHeight="1" thickBot="1" x14ac:dyDescent="0.25">
      <c r="A1" s="192"/>
      <c r="B1" s="193"/>
      <c r="C1" s="193"/>
      <c r="D1" s="193"/>
      <c r="E1" s="193"/>
      <c r="F1" s="193"/>
      <c r="G1" s="193"/>
      <c r="H1" s="193"/>
      <c r="I1" s="194"/>
    </row>
    <row r="2" spans="1:9" ht="40" customHeight="1" x14ac:dyDescent="0.2">
      <c r="A2" s="241"/>
      <c r="B2" s="217" t="s">
        <v>121</v>
      </c>
      <c r="C2" s="218"/>
      <c r="D2" s="218"/>
      <c r="E2" s="218"/>
      <c r="F2" s="218"/>
      <c r="G2" s="218"/>
      <c r="H2" s="219"/>
      <c r="I2" s="195"/>
    </row>
    <row r="3" spans="1:9" ht="40" customHeight="1" thickBot="1" x14ac:dyDescent="0.25">
      <c r="A3" s="241"/>
      <c r="B3" s="220" t="s">
        <v>122</v>
      </c>
      <c r="C3" s="221"/>
      <c r="D3" s="221"/>
      <c r="E3" s="221"/>
      <c r="F3" s="221"/>
      <c r="G3" s="221"/>
      <c r="H3" s="222"/>
      <c r="I3" s="195"/>
    </row>
    <row r="4" spans="1:9" ht="10" customHeight="1" thickBot="1" x14ac:dyDescent="0.25">
      <c r="A4" s="241"/>
      <c r="B4" s="223"/>
      <c r="C4" s="224"/>
      <c r="D4" s="224"/>
      <c r="E4" s="224"/>
      <c r="F4" s="224"/>
      <c r="G4" s="224"/>
      <c r="H4" s="225"/>
      <c r="I4" s="195"/>
    </row>
    <row r="5" spans="1:9" ht="50" customHeight="1" thickBot="1" x14ac:dyDescent="0.25">
      <c r="A5" s="241"/>
      <c r="B5" s="238" t="s">
        <v>81</v>
      </c>
      <c r="C5" s="238"/>
      <c r="D5" s="238"/>
      <c r="E5" s="238"/>
      <c r="F5" s="238"/>
      <c r="G5" s="238"/>
      <c r="H5" s="238"/>
      <c r="I5" s="195"/>
    </row>
    <row r="6" spans="1:9" ht="10" customHeight="1" thickBot="1" x14ac:dyDescent="0.25">
      <c r="A6" s="241"/>
      <c r="B6" s="210"/>
      <c r="C6" s="211"/>
      <c r="D6" s="211"/>
      <c r="E6" s="211"/>
      <c r="F6" s="211"/>
      <c r="G6" s="211"/>
      <c r="H6" s="212"/>
      <c r="I6" s="195"/>
    </row>
    <row r="7" spans="1:9" ht="30" customHeight="1" thickBot="1" x14ac:dyDescent="0.25">
      <c r="A7" s="241"/>
      <c r="B7" s="213" t="s">
        <v>123</v>
      </c>
      <c r="C7" s="214"/>
      <c r="D7" s="217" t="s">
        <v>126</v>
      </c>
      <c r="E7" s="218"/>
      <c r="F7" s="218"/>
      <c r="G7" s="219"/>
      <c r="H7" s="133" t="s">
        <v>124</v>
      </c>
      <c r="I7" s="195"/>
    </row>
    <row r="8" spans="1:9" ht="30" customHeight="1" thickBot="1" x14ac:dyDescent="0.25">
      <c r="A8" s="241"/>
      <c r="B8" s="215"/>
      <c r="C8" s="216"/>
      <c r="D8" s="220"/>
      <c r="E8" s="221"/>
      <c r="F8" s="221"/>
      <c r="G8" s="222"/>
      <c r="H8" s="137" t="s">
        <v>125</v>
      </c>
      <c r="I8" s="195"/>
    </row>
    <row r="9" spans="1:9" ht="10" customHeight="1" thickBot="1" x14ac:dyDescent="0.25">
      <c r="A9" s="241"/>
      <c r="B9" s="223"/>
      <c r="C9" s="224"/>
      <c r="D9" s="224"/>
      <c r="E9" s="224"/>
      <c r="F9" s="224"/>
      <c r="G9" s="224"/>
      <c r="H9" s="225"/>
      <c r="I9" s="195"/>
    </row>
    <row r="10" spans="1:9" ht="10" customHeight="1" thickBot="1" x14ac:dyDescent="0.25">
      <c r="A10" s="241"/>
      <c r="B10" s="131"/>
      <c r="C10" s="131"/>
      <c r="D10" s="131"/>
      <c r="E10" s="131"/>
      <c r="F10" s="131"/>
      <c r="G10" s="131"/>
      <c r="H10" s="131"/>
      <c r="I10" s="195"/>
    </row>
    <row r="11" spans="1:9" ht="35" customHeight="1" thickBot="1" x14ac:dyDescent="0.25">
      <c r="A11" s="241"/>
      <c r="B11" s="107" t="s">
        <v>40</v>
      </c>
      <c r="C11" s="108" t="s">
        <v>41</v>
      </c>
      <c r="D11" s="242" t="s">
        <v>42</v>
      </c>
      <c r="E11" s="243"/>
      <c r="F11" s="243"/>
      <c r="G11" s="244"/>
      <c r="H11" s="109" t="s">
        <v>43</v>
      </c>
      <c r="I11" s="195"/>
    </row>
    <row r="12" spans="1:9" ht="35" customHeight="1" x14ac:dyDescent="0.2">
      <c r="A12" s="241"/>
      <c r="B12" s="110">
        <v>1</v>
      </c>
      <c r="C12" s="111" t="s">
        <v>82</v>
      </c>
      <c r="D12" s="246" t="s">
        <v>127</v>
      </c>
      <c r="E12" s="246"/>
      <c r="F12" s="246"/>
      <c r="G12" s="246"/>
      <c r="H12" s="247"/>
      <c r="I12" s="195"/>
    </row>
    <row r="13" spans="1:9" ht="35" customHeight="1" x14ac:dyDescent="0.2">
      <c r="A13" s="241"/>
      <c r="B13" s="112">
        <v>2</v>
      </c>
      <c r="C13" s="113" t="s">
        <v>83</v>
      </c>
      <c r="D13" s="231" t="s">
        <v>128</v>
      </c>
      <c r="E13" s="231"/>
      <c r="F13" s="231"/>
      <c r="G13" s="231"/>
      <c r="H13" s="245"/>
      <c r="I13" s="195"/>
    </row>
    <row r="14" spans="1:9" ht="35" customHeight="1" x14ac:dyDescent="0.2">
      <c r="A14" s="241"/>
      <c r="B14" s="112">
        <v>3</v>
      </c>
      <c r="C14" s="113" t="s">
        <v>119</v>
      </c>
      <c r="D14" s="231" t="s">
        <v>120</v>
      </c>
      <c r="E14" s="231"/>
      <c r="F14" s="231"/>
      <c r="G14" s="231"/>
      <c r="H14" s="245"/>
      <c r="I14" s="195"/>
    </row>
    <row r="15" spans="1:9" ht="35" customHeight="1" x14ac:dyDescent="0.2">
      <c r="A15" s="241"/>
      <c r="B15" s="112">
        <v>4</v>
      </c>
      <c r="C15" s="113" t="s">
        <v>84</v>
      </c>
      <c r="D15" s="226" t="s">
        <v>112</v>
      </c>
      <c r="E15" s="227"/>
      <c r="F15" s="227"/>
      <c r="G15" s="227"/>
      <c r="H15" s="228"/>
      <c r="I15" s="195"/>
    </row>
    <row r="16" spans="1:9" ht="35" customHeight="1" x14ac:dyDescent="0.2">
      <c r="A16" s="241"/>
      <c r="B16" s="112">
        <v>5</v>
      </c>
      <c r="C16" s="116" t="s">
        <v>85</v>
      </c>
      <c r="D16" s="226" t="s">
        <v>129</v>
      </c>
      <c r="E16" s="227"/>
      <c r="F16" s="227"/>
      <c r="G16" s="227"/>
      <c r="H16" s="228"/>
      <c r="I16" s="195"/>
    </row>
    <row r="17" spans="1:9" ht="35" customHeight="1" x14ac:dyDescent="0.2">
      <c r="A17" s="241"/>
      <c r="B17" s="114">
        <v>6</v>
      </c>
      <c r="C17" s="120" t="s">
        <v>87</v>
      </c>
      <c r="D17" s="234" t="s">
        <v>88</v>
      </c>
      <c r="E17" s="234"/>
      <c r="F17" s="234"/>
      <c r="G17" s="234"/>
      <c r="H17" s="121" t="s">
        <v>113</v>
      </c>
      <c r="I17" s="195"/>
    </row>
    <row r="18" spans="1:9" ht="35" customHeight="1" x14ac:dyDescent="0.2">
      <c r="A18" s="241"/>
      <c r="B18" s="114">
        <v>7</v>
      </c>
      <c r="C18" s="115" t="s">
        <v>89</v>
      </c>
      <c r="D18" s="236" t="s">
        <v>114</v>
      </c>
      <c r="E18" s="236"/>
      <c r="F18" s="236"/>
      <c r="G18" s="236"/>
      <c r="H18" s="237"/>
      <c r="I18" s="195"/>
    </row>
    <row r="19" spans="1:9" ht="25" customHeight="1" x14ac:dyDescent="0.2">
      <c r="A19" s="241"/>
      <c r="B19" s="248">
        <v>8</v>
      </c>
      <c r="C19" s="251" t="s">
        <v>90</v>
      </c>
      <c r="D19" s="236" t="s">
        <v>115</v>
      </c>
      <c r="E19" s="236"/>
      <c r="F19" s="236"/>
      <c r="G19" s="236"/>
      <c r="H19" s="122" t="s">
        <v>91</v>
      </c>
      <c r="I19" s="195"/>
    </row>
    <row r="20" spans="1:9" ht="25" customHeight="1" x14ac:dyDescent="0.2">
      <c r="A20" s="241"/>
      <c r="B20" s="248"/>
      <c r="C20" s="251"/>
      <c r="D20" s="236"/>
      <c r="E20" s="236"/>
      <c r="F20" s="236"/>
      <c r="G20" s="236"/>
      <c r="H20" s="122" t="s">
        <v>92</v>
      </c>
      <c r="I20" s="195"/>
    </row>
    <row r="21" spans="1:9" ht="25" customHeight="1" x14ac:dyDescent="0.2">
      <c r="A21" s="241"/>
      <c r="B21" s="248"/>
      <c r="C21" s="251"/>
      <c r="D21" s="236"/>
      <c r="E21" s="236"/>
      <c r="F21" s="236"/>
      <c r="G21" s="236"/>
      <c r="H21" s="122" t="s">
        <v>118</v>
      </c>
      <c r="I21" s="195"/>
    </row>
    <row r="22" spans="1:9" ht="25" customHeight="1" x14ac:dyDescent="0.2">
      <c r="A22" s="241"/>
      <c r="B22" s="248"/>
      <c r="C22" s="251"/>
      <c r="D22" s="236"/>
      <c r="E22" s="236"/>
      <c r="F22" s="236"/>
      <c r="G22" s="236"/>
      <c r="H22" s="122" t="s">
        <v>93</v>
      </c>
      <c r="I22" s="195"/>
    </row>
    <row r="23" spans="1:9" ht="35" customHeight="1" x14ac:dyDescent="0.2">
      <c r="A23" s="241"/>
      <c r="B23" s="248"/>
      <c r="C23" s="251"/>
      <c r="D23" s="234" t="s">
        <v>94</v>
      </c>
      <c r="E23" s="234"/>
      <c r="F23" s="234"/>
      <c r="G23" s="234"/>
      <c r="H23" s="235"/>
      <c r="I23" s="195"/>
    </row>
    <row r="24" spans="1:9" ht="35" customHeight="1" x14ac:dyDescent="0.2">
      <c r="A24" s="241"/>
      <c r="B24" s="114">
        <v>9</v>
      </c>
      <c r="C24" s="115" t="s">
        <v>99</v>
      </c>
      <c r="D24" s="234" t="s">
        <v>100</v>
      </c>
      <c r="E24" s="234"/>
      <c r="F24" s="234"/>
      <c r="G24" s="234"/>
      <c r="H24" s="235"/>
      <c r="I24" s="195"/>
    </row>
    <row r="25" spans="1:9" ht="35" customHeight="1" x14ac:dyDescent="0.2">
      <c r="A25" s="241"/>
      <c r="B25" s="114">
        <v>10</v>
      </c>
      <c r="C25" s="115" t="s">
        <v>101</v>
      </c>
      <c r="D25" s="234" t="s">
        <v>86</v>
      </c>
      <c r="E25" s="234"/>
      <c r="F25" s="234"/>
      <c r="G25" s="234"/>
      <c r="H25" s="235"/>
      <c r="I25" s="195"/>
    </row>
    <row r="26" spans="1:9" ht="35" customHeight="1" x14ac:dyDescent="0.2">
      <c r="A26" s="241"/>
      <c r="B26" s="114">
        <v>11</v>
      </c>
      <c r="C26" s="115" t="s">
        <v>102</v>
      </c>
      <c r="D26" s="234" t="s">
        <v>86</v>
      </c>
      <c r="E26" s="234"/>
      <c r="F26" s="234"/>
      <c r="G26" s="234"/>
      <c r="H26" s="235"/>
      <c r="I26" s="195"/>
    </row>
    <row r="27" spans="1:9" ht="60" customHeight="1" x14ac:dyDescent="0.2">
      <c r="A27" s="241"/>
      <c r="B27" s="114">
        <v>12</v>
      </c>
      <c r="C27" s="123" t="s">
        <v>95</v>
      </c>
      <c r="D27" s="236" t="s">
        <v>96</v>
      </c>
      <c r="E27" s="236"/>
      <c r="F27" s="236"/>
      <c r="G27" s="236"/>
      <c r="H27" s="237"/>
      <c r="I27" s="195"/>
    </row>
    <row r="28" spans="1:9" ht="60" customHeight="1" x14ac:dyDescent="0.2">
      <c r="A28" s="241"/>
      <c r="B28" s="114">
        <v>13</v>
      </c>
      <c r="C28" s="123" t="s">
        <v>97</v>
      </c>
      <c r="D28" s="236" t="s">
        <v>98</v>
      </c>
      <c r="E28" s="236"/>
      <c r="F28" s="236"/>
      <c r="G28" s="236"/>
      <c r="H28" s="237"/>
      <c r="I28" s="195"/>
    </row>
    <row r="29" spans="1:9" ht="60" customHeight="1" x14ac:dyDescent="0.2">
      <c r="A29" s="241"/>
      <c r="B29" s="114">
        <v>14</v>
      </c>
      <c r="C29" s="115" t="s">
        <v>103</v>
      </c>
      <c r="D29" s="236" t="s">
        <v>130</v>
      </c>
      <c r="E29" s="236"/>
      <c r="F29" s="236"/>
      <c r="G29" s="236"/>
      <c r="H29" s="237"/>
      <c r="I29" s="195"/>
    </row>
    <row r="30" spans="1:9" ht="60" customHeight="1" x14ac:dyDescent="0.2">
      <c r="A30" s="241"/>
      <c r="B30" s="114">
        <v>15</v>
      </c>
      <c r="C30" s="115" t="s">
        <v>104</v>
      </c>
      <c r="D30" s="236" t="s">
        <v>105</v>
      </c>
      <c r="E30" s="236"/>
      <c r="F30" s="236"/>
      <c r="G30" s="236"/>
      <c r="H30" s="237"/>
      <c r="I30" s="195"/>
    </row>
    <row r="31" spans="1:9" ht="30" customHeight="1" x14ac:dyDescent="0.2">
      <c r="A31" s="241"/>
      <c r="B31" s="229">
        <v>16</v>
      </c>
      <c r="C31" s="230" t="s">
        <v>106</v>
      </c>
      <c r="D31" s="231" t="s">
        <v>131</v>
      </c>
      <c r="E31" s="231"/>
      <c r="F31" s="231"/>
      <c r="G31" s="231"/>
      <c r="H31" s="134" t="s">
        <v>107</v>
      </c>
      <c r="I31" s="195"/>
    </row>
    <row r="32" spans="1:9" ht="30" customHeight="1" x14ac:dyDescent="0.2">
      <c r="A32" s="241"/>
      <c r="B32" s="229"/>
      <c r="C32" s="230"/>
      <c r="D32" s="231" t="s">
        <v>108</v>
      </c>
      <c r="E32" s="231"/>
      <c r="F32" s="231"/>
      <c r="G32" s="231"/>
      <c r="H32" s="134" t="s">
        <v>109</v>
      </c>
      <c r="I32" s="195"/>
    </row>
    <row r="33" spans="1:9" ht="35" customHeight="1" x14ac:dyDescent="0.2">
      <c r="A33" s="241"/>
      <c r="B33" s="112">
        <v>17</v>
      </c>
      <c r="C33" s="116" t="s">
        <v>110</v>
      </c>
      <c r="D33" s="232" t="s">
        <v>133</v>
      </c>
      <c r="E33" s="232"/>
      <c r="F33" s="232"/>
      <c r="G33" s="232"/>
      <c r="H33" s="233"/>
      <c r="I33" s="195"/>
    </row>
    <row r="34" spans="1:9" ht="96.75" customHeight="1" thickBot="1" x14ac:dyDescent="0.25">
      <c r="A34" s="241"/>
      <c r="B34" s="135">
        <v>18</v>
      </c>
      <c r="C34" s="136" t="s">
        <v>111</v>
      </c>
      <c r="D34" s="249" t="s">
        <v>132</v>
      </c>
      <c r="E34" s="249"/>
      <c r="F34" s="249"/>
      <c r="G34" s="249"/>
      <c r="H34" s="250"/>
      <c r="I34" s="195"/>
    </row>
    <row r="35" spans="1:9" ht="10" customHeight="1" thickBot="1" x14ac:dyDescent="0.25">
      <c r="A35" s="181"/>
      <c r="B35" s="239"/>
      <c r="C35" s="239"/>
      <c r="D35" s="239"/>
      <c r="E35" s="239"/>
      <c r="F35" s="239"/>
      <c r="G35" s="239"/>
      <c r="H35" s="239"/>
      <c r="I35" s="240"/>
    </row>
  </sheetData>
  <mergeCells count="37">
    <mergeCell ref="A35:I35"/>
    <mergeCell ref="I2:I34"/>
    <mergeCell ref="A2:A34"/>
    <mergeCell ref="D17:G17"/>
    <mergeCell ref="D18:H18"/>
    <mergeCell ref="D11:G11"/>
    <mergeCell ref="D13:H13"/>
    <mergeCell ref="D15:H15"/>
    <mergeCell ref="D12:H12"/>
    <mergeCell ref="D14:H14"/>
    <mergeCell ref="B19:B23"/>
    <mergeCell ref="D34:H34"/>
    <mergeCell ref="D29:H29"/>
    <mergeCell ref="D30:H30"/>
    <mergeCell ref="C19:C23"/>
    <mergeCell ref="D19:G22"/>
    <mergeCell ref="A1:I1"/>
    <mergeCell ref="B2:H2"/>
    <mergeCell ref="B3:H3"/>
    <mergeCell ref="B4:H4"/>
    <mergeCell ref="B5:H5"/>
    <mergeCell ref="D23:H23"/>
    <mergeCell ref="D28:H28"/>
    <mergeCell ref="D27:H27"/>
    <mergeCell ref="D24:H24"/>
    <mergeCell ref="D25:H25"/>
    <mergeCell ref="D26:H26"/>
    <mergeCell ref="B31:B32"/>
    <mergeCell ref="C31:C32"/>
    <mergeCell ref="D31:G31"/>
    <mergeCell ref="D32:G32"/>
    <mergeCell ref="D33:H33"/>
    <mergeCell ref="B6:H6"/>
    <mergeCell ref="B7:C8"/>
    <mergeCell ref="D7:G8"/>
    <mergeCell ref="B9:H9"/>
    <mergeCell ref="D16:H16"/>
  </mergeCells>
  <printOptions horizontalCentered="1" verticalCentered="1"/>
  <pageMargins left="0.19685039370078741" right="0.19685039370078741" top="0.19685039370078741" bottom="0.19685039370078741" header="0" footer="0"/>
  <pageSetup paperSize="9" scale="5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FAB2E-2B84-41E5-B822-381AA04F8473}">
  <sheetPr>
    <pageSetUpPr fitToPage="1"/>
  </sheetPr>
  <dimension ref="A1:Q46"/>
  <sheetViews>
    <sheetView showGridLines="0" zoomScale="85" zoomScaleNormal="85" workbookViewId="0">
      <selection activeCell="Q1" sqref="A1:Q26"/>
    </sheetView>
  </sheetViews>
  <sheetFormatPr baseColWidth="10" defaultColWidth="8.83203125" defaultRowHeight="15" x14ac:dyDescent="0.2"/>
  <cols>
    <col min="1" max="1" width="1.6640625" customWidth="1"/>
    <col min="2" max="2" width="10.6640625" customWidth="1"/>
    <col min="3" max="3" width="34.6640625" customWidth="1"/>
    <col min="4" max="4" width="5.6640625" customWidth="1"/>
    <col min="5" max="5" width="1.6640625" customWidth="1"/>
    <col min="6" max="6" width="10.6640625" customWidth="1"/>
    <col min="7" max="7" width="34.6640625" customWidth="1"/>
    <col min="8" max="8" width="5.6640625" customWidth="1"/>
    <col min="9" max="9" width="1.6640625" customWidth="1"/>
    <col min="10" max="10" width="10.6640625" customWidth="1"/>
    <col min="11" max="11" width="34.6640625" customWidth="1"/>
    <col min="12" max="12" width="5.6640625" customWidth="1"/>
    <col min="13" max="13" width="1.6640625" customWidth="1"/>
    <col min="14" max="14" width="13.83203125" customWidth="1"/>
    <col min="15" max="15" width="34.6640625" customWidth="1"/>
    <col min="16" max="16" width="5.6640625" customWidth="1"/>
    <col min="17" max="17" width="1.6640625" customWidth="1"/>
  </cols>
  <sheetData>
    <row r="1" spans="1:17" ht="10" customHeight="1" thickBot="1" x14ac:dyDescent="0.25">
      <c r="A1" s="294"/>
      <c r="B1" s="193"/>
      <c r="C1" s="193"/>
      <c r="D1" s="193"/>
      <c r="E1" s="193"/>
      <c r="F1" s="193"/>
      <c r="G1" s="193"/>
      <c r="H1" s="193"/>
      <c r="I1" s="193"/>
      <c r="J1" s="193"/>
      <c r="K1" s="193"/>
      <c r="L1" s="193"/>
      <c r="M1" s="193"/>
      <c r="N1" s="193"/>
      <c r="O1" s="193"/>
      <c r="P1" s="193"/>
      <c r="Q1" s="194"/>
    </row>
    <row r="2" spans="1:17" ht="45" customHeight="1" x14ac:dyDescent="0.2">
      <c r="A2" s="295"/>
      <c r="B2" s="265" t="s">
        <v>121</v>
      </c>
      <c r="C2" s="266"/>
      <c r="D2" s="266"/>
      <c r="E2" s="266"/>
      <c r="F2" s="266"/>
      <c r="G2" s="266"/>
      <c r="H2" s="266"/>
      <c r="I2" s="266"/>
      <c r="J2" s="266"/>
      <c r="K2" s="266"/>
      <c r="L2" s="266"/>
      <c r="M2" s="266"/>
      <c r="N2" s="266"/>
      <c r="O2" s="266"/>
      <c r="P2" s="267"/>
      <c r="Q2" s="195"/>
    </row>
    <row r="3" spans="1:17" ht="45" customHeight="1" thickBot="1" x14ac:dyDescent="0.25">
      <c r="A3" s="295"/>
      <c r="B3" s="268" t="s">
        <v>122</v>
      </c>
      <c r="C3" s="269"/>
      <c r="D3" s="269"/>
      <c r="E3" s="269"/>
      <c r="F3" s="269"/>
      <c r="G3" s="269"/>
      <c r="H3" s="269"/>
      <c r="I3" s="269"/>
      <c r="J3" s="269"/>
      <c r="K3" s="269"/>
      <c r="L3" s="269"/>
      <c r="M3" s="269"/>
      <c r="N3" s="269"/>
      <c r="O3" s="269"/>
      <c r="P3" s="270"/>
      <c r="Q3" s="195"/>
    </row>
    <row r="4" spans="1:17" ht="10" customHeight="1" thickBot="1" x14ac:dyDescent="0.25">
      <c r="A4" s="295"/>
      <c r="B4" s="142"/>
      <c r="C4" s="142"/>
      <c r="D4" s="142"/>
      <c r="E4" s="142"/>
      <c r="F4" s="142"/>
      <c r="G4" s="142"/>
      <c r="H4" s="142"/>
      <c r="I4" s="142"/>
      <c r="J4" s="142"/>
      <c r="K4" s="142"/>
      <c r="L4" s="142"/>
      <c r="M4" s="142"/>
      <c r="N4" s="142"/>
      <c r="O4" s="142"/>
      <c r="P4" s="142"/>
      <c r="Q4" s="195"/>
    </row>
    <row r="5" spans="1:17" ht="40" customHeight="1" thickBot="1" x14ac:dyDescent="0.25">
      <c r="A5" s="295"/>
      <c r="B5" s="271" t="s">
        <v>126</v>
      </c>
      <c r="C5" s="272"/>
      <c r="D5" s="272"/>
      <c r="E5" s="272"/>
      <c r="F5" s="272"/>
      <c r="G5" s="272"/>
      <c r="H5" s="272"/>
      <c r="I5" s="272"/>
      <c r="J5" s="272"/>
      <c r="K5" s="272"/>
      <c r="L5" s="272"/>
      <c r="M5" s="272"/>
      <c r="N5" s="272"/>
      <c r="O5" s="272"/>
      <c r="P5" s="273"/>
      <c r="Q5" s="195"/>
    </row>
    <row r="6" spans="1:17" ht="40" customHeight="1" thickBot="1" x14ac:dyDescent="0.25">
      <c r="A6" s="295"/>
      <c r="B6" s="202" t="s">
        <v>134</v>
      </c>
      <c r="C6" s="202"/>
      <c r="D6" s="202"/>
      <c r="E6" s="202"/>
      <c r="F6" s="202"/>
      <c r="G6" s="202"/>
      <c r="H6" s="202"/>
      <c r="I6" s="202"/>
      <c r="J6" s="202"/>
      <c r="K6" s="202"/>
      <c r="L6" s="202"/>
      <c r="M6" s="202"/>
      <c r="N6" s="202"/>
      <c r="O6" s="202"/>
      <c r="P6" s="202"/>
      <c r="Q6" s="195"/>
    </row>
    <row r="7" spans="1:17" ht="40" customHeight="1" x14ac:dyDescent="0.2">
      <c r="A7" s="295"/>
      <c r="B7" s="297" t="s">
        <v>171</v>
      </c>
      <c r="C7" s="298"/>
      <c r="D7" s="298"/>
      <c r="E7" s="298"/>
      <c r="F7" s="298"/>
      <c r="G7" s="298"/>
      <c r="H7" s="298"/>
      <c r="I7" s="298"/>
      <c r="J7" s="298"/>
      <c r="K7" s="298"/>
      <c r="L7" s="298"/>
      <c r="M7" s="298"/>
      <c r="N7" s="298"/>
      <c r="O7" s="298"/>
      <c r="P7" s="299"/>
      <c r="Q7" s="195"/>
    </row>
    <row r="8" spans="1:17" ht="30" customHeight="1" thickBot="1" x14ac:dyDescent="0.25">
      <c r="A8" s="295"/>
      <c r="B8" s="286" t="s">
        <v>172</v>
      </c>
      <c r="C8" s="287"/>
      <c r="D8" s="287"/>
      <c r="E8" s="287"/>
      <c r="F8" s="287"/>
      <c r="G8" s="287"/>
      <c r="H8" s="287"/>
      <c r="I8" s="287"/>
      <c r="J8" s="287"/>
      <c r="K8" s="287"/>
      <c r="L8" s="287"/>
      <c r="M8" s="287"/>
      <c r="N8" s="287"/>
      <c r="O8" s="287"/>
      <c r="P8" s="288"/>
      <c r="Q8" s="195"/>
    </row>
    <row r="9" spans="1:17" ht="30" customHeight="1" thickBot="1" x14ac:dyDescent="0.25">
      <c r="A9" s="295"/>
      <c r="B9" s="175"/>
      <c r="C9" s="175"/>
      <c r="D9" s="175"/>
      <c r="E9" s="175"/>
      <c r="F9" s="175"/>
      <c r="G9" s="175"/>
      <c r="H9" s="175"/>
      <c r="I9" s="175"/>
      <c r="J9" s="175"/>
      <c r="K9" s="175"/>
      <c r="L9" s="175"/>
      <c r="M9" s="175"/>
      <c r="N9" s="175"/>
      <c r="O9" s="175"/>
      <c r="P9" s="175"/>
      <c r="Q9" s="195"/>
    </row>
    <row r="10" spans="1:17" ht="30" customHeight="1" thickBot="1" x14ac:dyDescent="0.25">
      <c r="A10" s="295"/>
      <c r="B10" s="277" t="s">
        <v>77</v>
      </c>
      <c r="C10" s="278"/>
      <c r="D10" s="279"/>
      <c r="E10" s="289"/>
      <c r="F10" s="280" t="s">
        <v>78</v>
      </c>
      <c r="G10" s="281"/>
      <c r="H10" s="282"/>
      <c r="I10" s="289"/>
      <c r="J10" s="283" t="s">
        <v>79</v>
      </c>
      <c r="K10" s="284"/>
      <c r="L10" s="285"/>
      <c r="M10" s="289"/>
      <c r="N10" s="274" t="s">
        <v>80</v>
      </c>
      <c r="O10" s="275"/>
      <c r="P10" s="276"/>
      <c r="Q10" s="195"/>
    </row>
    <row r="11" spans="1:17" ht="30" customHeight="1" x14ac:dyDescent="0.2">
      <c r="A11" s="295"/>
      <c r="B11" s="42" t="s">
        <v>48</v>
      </c>
      <c r="C11" s="94" t="s">
        <v>31</v>
      </c>
      <c r="D11" s="43" t="s">
        <v>49</v>
      </c>
      <c r="E11" s="289"/>
      <c r="F11" s="42" t="s">
        <v>48</v>
      </c>
      <c r="G11" s="43" t="s">
        <v>31</v>
      </c>
      <c r="H11" s="43" t="s">
        <v>49</v>
      </c>
      <c r="I11" s="289"/>
      <c r="J11" s="42" t="s">
        <v>48</v>
      </c>
      <c r="K11" s="43" t="s">
        <v>31</v>
      </c>
      <c r="L11" s="43" t="s">
        <v>49</v>
      </c>
      <c r="M11" s="289"/>
      <c r="N11" s="42" t="s">
        <v>48</v>
      </c>
      <c r="O11" s="43" t="s">
        <v>31</v>
      </c>
      <c r="P11" s="43" t="s">
        <v>49</v>
      </c>
      <c r="Q11" s="195"/>
    </row>
    <row r="12" spans="1:17" ht="30" customHeight="1" x14ac:dyDescent="0.2">
      <c r="A12" s="295"/>
      <c r="B12" s="44" t="s">
        <v>1</v>
      </c>
      <c r="C12" s="128" t="str">
        <f>C18</f>
        <v>ANA LUIZA/KAIO</v>
      </c>
      <c r="D12" s="62" t="s">
        <v>50</v>
      </c>
      <c r="E12" s="289"/>
      <c r="F12" s="44" t="s">
        <v>3</v>
      </c>
      <c r="G12" s="130" t="str">
        <f>C19</f>
        <v>ANA C./VITOR BICHARA</v>
      </c>
      <c r="H12" s="64" t="s">
        <v>59</v>
      </c>
      <c r="I12" s="289"/>
      <c r="J12" s="44" t="s">
        <v>4</v>
      </c>
      <c r="K12" s="45" t="str">
        <f>C20</f>
        <v>CRYS/LEO</v>
      </c>
      <c r="L12" s="66" t="s">
        <v>60</v>
      </c>
      <c r="M12" s="289"/>
      <c r="N12" s="44" t="s">
        <v>2</v>
      </c>
      <c r="O12" s="45" t="str">
        <f>C21</f>
        <v>RAQUEL/ELIAS</v>
      </c>
      <c r="P12" s="68" t="s">
        <v>61</v>
      </c>
      <c r="Q12" s="195"/>
    </row>
    <row r="13" spans="1:17" ht="30" customHeight="1" x14ac:dyDescent="0.2">
      <c r="A13" s="295"/>
      <c r="B13" s="44" t="s">
        <v>8</v>
      </c>
      <c r="C13" s="50" t="str">
        <f>C25</f>
        <v>JOSÉ/SARA</v>
      </c>
      <c r="D13" s="62" t="s">
        <v>51</v>
      </c>
      <c r="E13" s="289"/>
      <c r="F13" s="44" t="s">
        <v>7</v>
      </c>
      <c r="G13" s="45" t="str">
        <f>C24</f>
        <v>THIAGO/DANILO</v>
      </c>
      <c r="H13" s="64" t="s">
        <v>54</v>
      </c>
      <c r="I13" s="289"/>
      <c r="J13" s="44" t="s">
        <v>6</v>
      </c>
      <c r="K13" s="45" t="str">
        <f>C23</f>
        <v>BÁRBARA/JOÃO</v>
      </c>
      <c r="L13" s="66" t="s">
        <v>64</v>
      </c>
      <c r="M13" s="289"/>
      <c r="N13" s="44" t="s">
        <v>5</v>
      </c>
      <c r="O13" s="45" t="str">
        <f>C22</f>
        <v>MARCOS/ANTÔNIO</v>
      </c>
      <c r="P13" s="68" t="s">
        <v>65</v>
      </c>
      <c r="Q13" s="195"/>
    </row>
    <row r="14" spans="1:17" ht="30" customHeight="1" x14ac:dyDescent="0.2">
      <c r="A14" s="295"/>
      <c r="B14" s="44" t="s">
        <v>9</v>
      </c>
      <c r="C14" s="50" t="str">
        <f>K18</f>
        <v>MAYARA/DIVINO</v>
      </c>
      <c r="D14" s="62" t="s">
        <v>52</v>
      </c>
      <c r="E14" s="289"/>
      <c r="F14" s="44" t="s">
        <v>10</v>
      </c>
      <c r="G14" s="45" t="str">
        <f>K19</f>
        <v>LARISSA/JÚLIA</v>
      </c>
      <c r="H14" s="64" t="s">
        <v>62</v>
      </c>
      <c r="I14" s="289"/>
      <c r="J14" s="44" t="s">
        <v>11</v>
      </c>
      <c r="K14" s="45" t="str">
        <f>K20</f>
        <v>LUCAS/GABRIEL L.</v>
      </c>
      <c r="L14" s="66" t="s">
        <v>55</v>
      </c>
      <c r="M14" s="289"/>
      <c r="N14" s="44" t="s">
        <v>12</v>
      </c>
      <c r="O14" s="45" t="str">
        <f>K21</f>
        <v>CLARINHA/ARTHUR</v>
      </c>
      <c r="P14" s="68" t="s">
        <v>63</v>
      </c>
      <c r="Q14" s="195"/>
    </row>
    <row r="15" spans="1:17" ht="30" customHeight="1" thickBot="1" x14ac:dyDescent="0.25">
      <c r="A15" s="295"/>
      <c r="B15" s="46" t="s">
        <v>34</v>
      </c>
      <c r="C15" s="51" t="str">
        <f>K25</f>
        <v>CYNTIA/SALVADOR</v>
      </c>
      <c r="D15" s="63" t="s">
        <v>53</v>
      </c>
      <c r="E15" s="289"/>
      <c r="F15" s="46" t="s">
        <v>33</v>
      </c>
      <c r="G15" s="47" t="str">
        <f>K24</f>
        <v>ARTEMIS/BETO</v>
      </c>
      <c r="H15" s="65" t="s">
        <v>57</v>
      </c>
      <c r="I15" s="289"/>
      <c r="J15" s="46" t="s">
        <v>14</v>
      </c>
      <c r="K15" s="47" t="str">
        <f>K23</f>
        <v>VINÍCIUS/PATRÍCIA</v>
      </c>
      <c r="L15" s="67" t="s">
        <v>58</v>
      </c>
      <c r="M15" s="289"/>
      <c r="N15" s="46" t="s">
        <v>13</v>
      </c>
      <c r="O15" s="47" t="str">
        <f>K22</f>
        <v>PRISCILA/RAFA</v>
      </c>
      <c r="P15" s="69" t="s">
        <v>56</v>
      </c>
      <c r="Q15" s="195"/>
    </row>
    <row r="16" spans="1:17" ht="40.5" customHeight="1" thickBot="1" x14ac:dyDescent="0.25">
      <c r="A16" s="295"/>
      <c r="B16" s="291" t="s">
        <v>135</v>
      </c>
      <c r="C16" s="291"/>
      <c r="D16" s="291"/>
      <c r="E16" s="291"/>
      <c r="F16" s="291"/>
      <c r="G16" s="291"/>
      <c r="H16" s="291"/>
      <c r="I16" s="292"/>
      <c r="J16" s="291"/>
      <c r="K16" s="291"/>
      <c r="L16" s="291"/>
      <c r="M16" s="291"/>
      <c r="N16" s="291"/>
      <c r="O16" s="291"/>
      <c r="P16" s="291"/>
      <c r="Q16" s="195"/>
    </row>
    <row r="17" spans="1:17" ht="30" customHeight="1" thickBot="1" x14ac:dyDescent="0.25">
      <c r="A17" s="295"/>
      <c r="B17" s="138" t="s">
        <v>48</v>
      </c>
      <c r="C17" s="290" t="s">
        <v>35</v>
      </c>
      <c r="D17" s="290"/>
      <c r="E17" s="290"/>
      <c r="F17" s="290"/>
      <c r="G17" s="290"/>
      <c r="H17" s="139" t="s">
        <v>49</v>
      </c>
      <c r="I17" s="293"/>
      <c r="J17" s="138" t="s">
        <v>48</v>
      </c>
      <c r="K17" s="290" t="s">
        <v>35</v>
      </c>
      <c r="L17" s="290"/>
      <c r="M17" s="290"/>
      <c r="N17" s="290"/>
      <c r="O17" s="290"/>
      <c r="P17" s="139" t="s">
        <v>49</v>
      </c>
      <c r="Q17" s="195"/>
    </row>
    <row r="18" spans="1:17" ht="30" customHeight="1" x14ac:dyDescent="0.2">
      <c r="A18" s="295"/>
      <c r="B18" s="140" t="s">
        <v>1</v>
      </c>
      <c r="C18" s="261" t="s">
        <v>176</v>
      </c>
      <c r="D18" s="262"/>
      <c r="E18" s="262"/>
      <c r="F18" s="262"/>
      <c r="G18" s="263"/>
      <c r="H18" s="141" t="s">
        <v>50</v>
      </c>
      <c r="I18" s="293"/>
      <c r="J18" s="140" t="s">
        <v>9</v>
      </c>
      <c r="K18" s="261" t="s">
        <v>184</v>
      </c>
      <c r="L18" s="262"/>
      <c r="M18" s="262"/>
      <c r="N18" s="262"/>
      <c r="O18" s="263"/>
      <c r="P18" s="141" t="s">
        <v>52</v>
      </c>
      <c r="Q18" s="195"/>
    </row>
    <row r="19" spans="1:17" ht="30" customHeight="1" x14ac:dyDescent="0.2">
      <c r="A19" s="295"/>
      <c r="B19" s="44" t="s">
        <v>3</v>
      </c>
      <c r="C19" s="255" t="s">
        <v>177</v>
      </c>
      <c r="D19" s="256"/>
      <c r="E19" s="256"/>
      <c r="F19" s="256"/>
      <c r="G19" s="257"/>
      <c r="H19" s="60" t="s">
        <v>59</v>
      </c>
      <c r="I19" s="293"/>
      <c r="J19" s="48" t="s">
        <v>10</v>
      </c>
      <c r="K19" s="255" t="s">
        <v>185</v>
      </c>
      <c r="L19" s="256"/>
      <c r="M19" s="256"/>
      <c r="N19" s="256"/>
      <c r="O19" s="257"/>
      <c r="P19" s="60" t="s">
        <v>62</v>
      </c>
      <c r="Q19" s="195"/>
    </row>
    <row r="20" spans="1:17" ht="30" customHeight="1" x14ac:dyDescent="0.2">
      <c r="A20" s="295"/>
      <c r="B20" s="44" t="s">
        <v>4</v>
      </c>
      <c r="C20" s="255" t="s">
        <v>178</v>
      </c>
      <c r="D20" s="256"/>
      <c r="E20" s="256"/>
      <c r="F20" s="256"/>
      <c r="G20" s="257"/>
      <c r="H20" s="60" t="s">
        <v>60</v>
      </c>
      <c r="I20" s="293"/>
      <c r="J20" s="44" t="s">
        <v>11</v>
      </c>
      <c r="K20" s="255" t="s">
        <v>186</v>
      </c>
      <c r="L20" s="256"/>
      <c r="M20" s="256"/>
      <c r="N20" s="256"/>
      <c r="O20" s="257"/>
      <c r="P20" s="60" t="s">
        <v>55</v>
      </c>
      <c r="Q20" s="195"/>
    </row>
    <row r="21" spans="1:17" ht="30" customHeight="1" x14ac:dyDescent="0.2">
      <c r="A21" s="295"/>
      <c r="B21" s="44" t="s">
        <v>2</v>
      </c>
      <c r="C21" s="255" t="s">
        <v>179</v>
      </c>
      <c r="D21" s="256"/>
      <c r="E21" s="256"/>
      <c r="F21" s="256"/>
      <c r="G21" s="257"/>
      <c r="H21" s="60" t="s">
        <v>61</v>
      </c>
      <c r="I21" s="293"/>
      <c r="J21" s="44" t="s">
        <v>12</v>
      </c>
      <c r="K21" s="255" t="s">
        <v>187</v>
      </c>
      <c r="L21" s="256"/>
      <c r="M21" s="256"/>
      <c r="N21" s="256"/>
      <c r="O21" s="257"/>
      <c r="P21" s="60" t="s">
        <v>63</v>
      </c>
      <c r="Q21" s="195"/>
    </row>
    <row r="22" spans="1:17" ht="30" customHeight="1" x14ac:dyDescent="0.2">
      <c r="A22" s="295"/>
      <c r="B22" s="44" t="s">
        <v>5</v>
      </c>
      <c r="C22" s="255" t="s">
        <v>181</v>
      </c>
      <c r="D22" s="256"/>
      <c r="E22" s="256"/>
      <c r="F22" s="256"/>
      <c r="G22" s="257"/>
      <c r="H22" s="60" t="s">
        <v>65</v>
      </c>
      <c r="I22" s="293"/>
      <c r="J22" s="44" t="s">
        <v>13</v>
      </c>
      <c r="K22" s="255" t="s">
        <v>188</v>
      </c>
      <c r="L22" s="256"/>
      <c r="M22" s="256"/>
      <c r="N22" s="256"/>
      <c r="O22" s="257"/>
      <c r="P22" s="60" t="s">
        <v>56</v>
      </c>
      <c r="Q22" s="195"/>
    </row>
    <row r="23" spans="1:17" ht="30" customHeight="1" x14ac:dyDescent="0.2">
      <c r="A23" s="295"/>
      <c r="B23" s="44" t="s">
        <v>6</v>
      </c>
      <c r="C23" s="255" t="s">
        <v>180</v>
      </c>
      <c r="D23" s="256"/>
      <c r="E23" s="256"/>
      <c r="F23" s="256"/>
      <c r="G23" s="257"/>
      <c r="H23" s="60" t="s">
        <v>64</v>
      </c>
      <c r="I23" s="293"/>
      <c r="J23" s="44" t="s">
        <v>14</v>
      </c>
      <c r="K23" s="255" t="s">
        <v>189</v>
      </c>
      <c r="L23" s="256"/>
      <c r="M23" s="256"/>
      <c r="N23" s="256"/>
      <c r="O23" s="257"/>
      <c r="P23" s="60" t="s">
        <v>58</v>
      </c>
      <c r="Q23" s="195"/>
    </row>
    <row r="24" spans="1:17" ht="30" customHeight="1" x14ac:dyDescent="0.2">
      <c r="A24" s="295"/>
      <c r="B24" s="44" t="s">
        <v>7</v>
      </c>
      <c r="C24" s="255" t="s">
        <v>182</v>
      </c>
      <c r="D24" s="256"/>
      <c r="E24" s="256"/>
      <c r="F24" s="256"/>
      <c r="G24" s="257"/>
      <c r="H24" s="60" t="s">
        <v>54</v>
      </c>
      <c r="I24" s="293"/>
      <c r="J24" s="44" t="s">
        <v>33</v>
      </c>
      <c r="K24" s="255" t="s">
        <v>190</v>
      </c>
      <c r="L24" s="256"/>
      <c r="M24" s="256"/>
      <c r="N24" s="256"/>
      <c r="O24" s="257"/>
      <c r="P24" s="60" t="s">
        <v>57</v>
      </c>
      <c r="Q24" s="195"/>
    </row>
    <row r="25" spans="1:17" ht="30" customHeight="1" thickBot="1" x14ac:dyDescent="0.25">
      <c r="A25" s="295"/>
      <c r="B25" s="46" t="s">
        <v>8</v>
      </c>
      <c r="C25" s="258" t="s">
        <v>183</v>
      </c>
      <c r="D25" s="259"/>
      <c r="E25" s="259"/>
      <c r="F25" s="259"/>
      <c r="G25" s="260"/>
      <c r="H25" s="61" t="s">
        <v>51</v>
      </c>
      <c r="I25" s="293"/>
      <c r="J25" s="46" t="s">
        <v>34</v>
      </c>
      <c r="K25" s="258" t="s">
        <v>191</v>
      </c>
      <c r="L25" s="259"/>
      <c r="M25" s="259"/>
      <c r="N25" s="259"/>
      <c r="O25" s="260"/>
      <c r="P25" s="61" t="s">
        <v>53</v>
      </c>
      <c r="Q25" s="195"/>
    </row>
    <row r="26" spans="1:17" ht="10" customHeight="1" thickBot="1" x14ac:dyDescent="0.25">
      <c r="A26" s="296"/>
      <c r="B26" s="239"/>
      <c r="C26" s="239"/>
      <c r="D26" s="239"/>
      <c r="E26" s="239"/>
      <c r="F26" s="239"/>
      <c r="G26" s="239"/>
      <c r="H26" s="239"/>
      <c r="I26" s="239"/>
      <c r="J26" s="239"/>
      <c r="K26" s="239"/>
      <c r="L26" s="239"/>
      <c r="M26" s="239"/>
      <c r="N26" s="239"/>
      <c r="O26" s="239"/>
      <c r="P26" s="239"/>
      <c r="Q26" s="240"/>
    </row>
    <row r="27" spans="1:17" ht="10" customHeight="1" thickBot="1" x14ac:dyDescent="0.25">
      <c r="B27" s="264"/>
      <c r="C27" s="264"/>
      <c r="D27" s="264"/>
      <c r="E27" s="264"/>
      <c r="F27" s="264"/>
      <c r="G27" s="264"/>
      <c r="H27" s="264"/>
      <c r="I27" s="264"/>
      <c r="J27" s="264"/>
      <c r="K27" s="264"/>
      <c r="L27" s="264"/>
      <c r="M27" s="264"/>
      <c r="N27" s="264"/>
      <c r="O27" s="264"/>
      <c r="P27" s="59"/>
    </row>
    <row r="28" spans="1:17" ht="34.5" customHeight="1" thickBot="1" x14ac:dyDescent="0.25">
      <c r="B28" s="143" t="s">
        <v>136</v>
      </c>
      <c r="C28" s="252" t="s">
        <v>137</v>
      </c>
      <c r="D28" s="253"/>
      <c r="E28" s="253"/>
      <c r="F28" s="253"/>
      <c r="G28" s="253"/>
      <c r="H28" s="253"/>
      <c r="I28" s="253"/>
      <c r="J28" s="253"/>
      <c r="K28" s="253"/>
      <c r="L28" s="253"/>
      <c r="M28" s="253"/>
      <c r="N28" s="253"/>
      <c r="O28" s="253"/>
      <c r="P28" s="254"/>
    </row>
    <row r="29" spans="1:17" ht="20" customHeight="1" x14ac:dyDescent="0.2"/>
    <row r="30" spans="1:17" ht="20" customHeight="1" x14ac:dyDescent="0.2"/>
    <row r="31" spans="1:17" ht="20" customHeight="1" x14ac:dyDescent="0.2"/>
    <row r="32" spans="1:17"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sheetData>
  <mergeCells count="40">
    <mergeCell ref="C23:G23"/>
    <mergeCell ref="B16:P16"/>
    <mergeCell ref="I17:I25"/>
    <mergeCell ref="C17:G17"/>
    <mergeCell ref="A1:A26"/>
    <mergeCell ref="B1:P1"/>
    <mergeCell ref="B26:P26"/>
    <mergeCell ref="B7:P7"/>
    <mergeCell ref="Q1:Q26"/>
    <mergeCell ref="B2:P2"/>
    <mergeCell ref="B3:P3"/>
    <mergeCell ref="B5:P5"/>
    <mergeCell ref="N10:P10"/>
    <mergeCell ref="B10:D10"/>
    <mergeCell ref="F10:H10"/>
    <mergeCell ref="J10:L10"/>
    <mergeCell ref="B6:P6"/>
    <mergeCell ref="B8:P8"/>
    <mergeCell ref="B9:P9"/>
    <mergeCell ref="E10:E15"/>
    <mergeCell ref="I10:I15"/>
    <mergeCell ref="M10:M15"/>
    <mergeCell ref="K17:O17"/>
    <mergeCell ref="C20:G20"/>
    <mergeCell ref="C28:P28"/>
    <mergeCell ref="C24:G24"/>
    <mergeCell ref="C25:G25"/>
    <mergeCell ref="K18:O18"/>
    <mergeCell ref="K19:O19"/>
    <mergeCell ref="K20:O20"/>
    <mergeCell ref="K21:O21"/>
    <mergeCell ref="K22:O22"/>
    <mergeCell ref="K23:O23"/>
    <mergeCell ref="K24:O24"/>
    <mergeCell ref="K25:O25"/>
    <mergeCell ref="C18:G18"/>
    <mergeCell ref="C19:G19"/>
    <mergeCell ref="B27:O27"/>
    <mergeCell ref="C21:G21"/>
    <mergeCell ref="C22:G22"/>
  </mergeCells>
  <phoneticPr fontId="2" type="noConversion"/>
  <printOptions horizontalCentered="1" verticalCentered="1"/>
  <pageMargins left="0.19685039370078741" right="0.19685039370078741" top="0.19685039370078741" bottom="0.19685039370078741" header="0.31496062992125984" footer="0.31496062992125984"/>
  <pageSetup paperSize="9" scale="6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0AA9E-BC8E-4FA2-8F89-A89C608EE8C8}">
  <sheetPr>
    <pageSetUpPr fitToPage="1"/>
  </sheetPr>
  <dimension ref="A1:P69"/>
  <sheetViews>
    <sheetView showGridLines="0" tabSelected="1" topLeftCell="A23" zoomScaleNormal="100" workbookViewId="0">
      <selection activeCell="H31" sqref="H31:J31"/>
    </sheetView>
  </sheetViews>
  <sheetFormatPr baseColWidth="10" defaultColWidth="8.83203125" defaultRowHeight="15" x14ac:dyDescent="0.2"/>
  <cols>
    <col min="1" max="1" width="1.6640625" customWidth="1"/>
    <col min="2" max="6" width="8.6640625" customWidth="1"/>
    <col min="7" max="7" width="34.6640625" customWidth="1"/>
    <col min="8" max="8" width="10.6640625" style="1" customWidth="1"/>
    <col min="9" max="9" width="6.6640625" customWidth="1"/>
    <col min="10" max="10" width="10.6640625" style="1" customWidth="1"/>
    <col min="11" max="11" width="34.6640625" customWidth="1"/>
    <col min="12" max="12" width="8.6640625" customWidth="1"/>
    <col min="13" max="13" width="1.6640625" customWidth="1"/>
    <col min="16" max="16" width="30.83203125" customWidth="1"/>
  </cols>
  <sheetData>
    <row r="1" spans="1:13" ht="10" customHeight="1" thickBot="1" x14ac:dyDescent="0.25">
      <c r="A1" s="192"/>
      <c r="B1" s="193"/>
      <c r="C1" s="193"/>
      <c r="D1" s="193"/>
      <c r="E1" s="193"/>
      <c r="F1" s="193"/>
      <c r="G1" s="193"/>
      <c r="H1" s="193"/>
      <c r="I1" s="193"/>
      <c r="J1" s="193"/>
      <c r="K1" s="193"/>
      <c r="L1" s="193"/>
      <c r="M1" s="194"/>
    </row>
    <row r="2" spans="1:13" ht="45" customHeight="1" thickBot="1" x14ac:dyDescent="0.25">
      <c r="A2" s="180"/>
      <c r="B2" s="186" t="s">
        <v>121</v>
      </c>
      <c r="C2" s="187"/>
      <c r="D2" s="187"/>
      <c r="E2" s="187"/>
      <c r="F2" s="187"/>
      <c r="G2" s="187"/>
      <c r="H2" s="187"/>
      <c r="I2" s="187"/>
      <c r="J2" s="187"/>
      <c r="K2" s="187"/>
      <c r="L2" s="188"/>
      <c r="M2" s="195"/>
    </row>
    <row r="3" spans="1:13" ht="45" customHeight="1" thickBot="1" x14ac:dyDescent="0.25">
      <c r="A3" s="180"/>
      <c r="B3" s="189" t="s">
        <v>122</v>
      </c>
      <c r="C3" s="190"/>
      <c r="D3" s="190"/>
      <c r="E3" s="190"/>
      <c r="F3" s="190"/>
      <c r="G3" s="190"/>
      <c r="H3" s="190"/>
      <c r="I3" s="190"/>
      <c r="J3" s="190"/>
      <c r="K3" s="190"/>
      <c r="L3" s="191"/>
      <c r="M3" s="195"/>
    </row>
    <row r="4" spans="1:13" ht="10" customHeight="1" thickBot="1" x14ac:dyDescent="0.25">
      <c r="A4" s="180"/>
      <c r="B4" s="132"/>
      <c r="C4" s="132"/>
      <c r="D4" s="132"/>
      <c r="E4" s="132"/>
      <c r="F4" s="132"/>
      <c r="G4" s="132"/>
      <c r="H4" s="132"/>
      <c r="I4" s="132"/>
      <c r="J4" s="132"/>
      <c r="K4" s="132"/>
      <c r="L4" s="132"/>
      <c r="M4" s="195"/>
    </row>
    <row r="5" spans="1:13" ht="40" customHeight="1" thickBot="1" x14ac:dyDescent="0.25">
      <c r="A5" s="180"/>
      <c r="B5" s="196" t="s">
        <v>126</v>
      </c>
      <c r="C5" s="197"/>
      <c r="D5" s="197"/>
      <c r="E5" s="197"/>
      <c r="F5" s="197"/>
      <c r="G5" s="197"/>
      <c r="H5" s="197"/>
      <c r="I5" s="197"/>
      <c r="J5" s="197"/>
      <c r="K5" s="197"/>
      <c r="L5" s="198"/>
      <c r="M5" s="195"/>
    </row>
    <row r="6" spans="1:13" ht="40" customHeight="1" thickBot="1" x14ac:dyDescent="0.25">
      <c r="A6" s="180"/>
      <c r="B6" s="202" t="s">
        <v>134</v>
      </c>
      <c r="C6" s="202"/>
      <c r="D6" s="202"/>
      <c r="E6" s="202"/>
      <c r="F6" s="202"/>
      <c r="G6" s="202"/>
      <c r="H6" s="202"/>
      <c r="I6" s="202"/>
      <c r="J6" s="202"/>
      <c r="K6" s="202"/>
      <c r="L6" s="202"/>
      <c r="M6" s="195"/>
    </row>
    <row r="7" spans="1:13" ht="40" customHeight="1" thickBot="1" x14ac:dyDescent="0.25">
      <c r="A7" s="180"/>
      <c r="B7" s="199" t="s">
        <v>36</v>
      </c>
      <c r="C7" s="200"/>
      <c r="D7" s="200"/>
      <c r="E7" s="200"/>
      <c r="F7" s="200"/>
      <c r="G7" s="200"/>
      <c r="H7" s="200"/>
      <c r="I7" s="200"/>
      <c r="J7" s="200"/>
      <c r="K7" s="200"/>
      <c r="L7" s="201"/>
      <c r="M7" s="195"/>
    </row>
    <row r="8" spans="1:13" ht="10" customHeight="1" thickBot="1" x14ac:dyDescent="0.25">
      <c r="A8" s="174"/>
      <c r="B8" s="175"/>
      <c r="C8" s="175"/>
      <c r="D8" s="175"/>
      <c r="E8" s="175"/>
      <c r="F8" s="175"/>
      <c r="G8" s="175"/>
      <c r="H8" s="175"/>
      <c r="I8" s="175"/>
      <c r="J8" s="175"/>
      <c r="K8" s="175"/>
      <c r="L8" s="175"/>
      <c r="M8" s="176"/>
    </row>
    <row r="9" spans="1:13" ht="25" customHeight="1" thickBot="1" x14ac:dyDescent="0.25">
      <c r="A9" s="180"/>
      <c r="B9" s="177" t="s">
        <v>28</v>
      </c>
      <c r="C9" s="178"/>
      <c r="D9" s="178"/>
      <c r="E9" s="178"/>
      <c r="F9" s="178"/>
      <c r="G9" s="178"/>
      <c r="H9" s="178"/>
      <c r="I9" s="178"/>
      <c r="J9" s="178"/>
      <c r="K9" s="178"/>
      <c r="L9" s="179"/>
      <c r="M9" s="182"/>
    </row>
    <row r="10" spans="1:13" ht="25" customHeight="1" thickBot="1" x14ac:dyDescent="0.25">
      <c r="A10" s="180"/>
      <c r="B10" s="87" t="s">
        <v>15</v>
      </c>
      <c r="C10" s="24" t="s">
        <v>75</v>
      </c>
      <c r="D10" s="24" t="s">
        <v>16</v>
      </c>
      <c r="E10" s="24" t="s">
        <v>17</v>
      </c>
      <c r="F10" s="24" t="s">
        <v>66</v>
      </c>
      <c r="G10" s="24" t="s">
        <v>18</v>
      </c>
      <c r="H10" s="24"/>
      <c r="I10" s="24"/>
      <c r="J10" s="24"/>
      <c r="K10" s="24" t="s">
        <v>19</v>
      </c>
      <c r="L10" s="88" t="s">
        <v>66</v>
      </c>
      <c r="M10" s="182"/>
    </row>
    <row r="11" spans="1:13" ht="25" customHeight="1" x14ac:dyDescent="0.2">
      <c r="A11" s="180"/>
      <c r="B11" s="35">
        <v>1</v>
      </c>
      <c r="C11" s="86" t="s">
        <v>22</v>
      </c>
      <c r="D11" s="118" t="s">
        <v>154</v>
      </c>
      <c r="E11" s="100"/>
      <c r="F11" s="82" t="s">
        <v>50</v>
      </c>
      <c r="G11" s="78" t="str">
        <f>GRUPOS!C12</f>
        <v>ANA LUIZA/KAIO</v>
      </c>
      <c r="H11" s="33">
        <v>21</v>
      </c>
      <c r="I11" s="33" t="s">
        <v>26</v>
      </c>
      <c r="J11" s="33">
        <v>19</v>
      </c>
      <c r="K11" s="58" t="str">
        <f>GRUPOS!C15</f>
        <v>CYNTIA/SALVADOR</v>
      </c>
      <c r="L11" s="89" t="s">
        <v>53</v>
      </c>
      <c r="M11" s="182"/>
    </row>
    <row r="12" spans="1:13" ht="25" customHeight="1" x14ac:dyDescent="0.2">
      <c r="A12" s="180"/>
      <c r="B12" s="20">
        <v>2</v>
      </c>
      <c r="C12" s="17" t="s">
        <v>24</v>
      </c>
      <c r="D12" s="17" t="s">
        <v>154</v>
      </c>
      <c r="E12" s="101"/>
      <c r="F12" s="79" t="s">
        <v>59</v>
      </c>
      <c r="G12" s="76" t="str">
        <f>GRUPOS!G12</f>
        <v>ANA C./VITOR BICHARA</v>
      </c>
      <c r="H12" s="16">
        <v>21</v>
      </c>
      <c r="I12" s="16" t="s">
        <v>26</v>
      </c>
      <c r="J12" s="16">
        <v>18</v>
      </c>
      <c r="K12" s="52" t="str">
        <f>GRUPOS!G15</f>
        <v>ARTEMIS/BETO</v>
      </c>
      <c r="L12" s="70" t="s">
        <v>57</v>
      </c>
      <c r="M12" s="182"/>
    </row>
    <row r="13" spans="1:13" ht="25" customHeight="1" x14ac:dyDescent="0.2">
      <c r="A13" s="180"/>
      <c r="B13" s="20">
        <v>3</v>
      </c>
      <c r="C13" s="17" t="s">
        <v>25</v>
      </c>
      <c r="D13" s="17" t="s">
        <v>155</v>
      </c>
      <c r="E13" s="101"/>
      <c r="F13" s="80" t="s">
        <v>60</v>
      </c>
      <c r="G13" s="76" t="str">
        <f>GRUPOS!K12</f>
        <v>CRYS/LEO</v>
      </c>
      <c r="H13" s="16">
        <v>12</v>
      </c>
      <c r="I13" s="16" t="s">
        <v>26</v>
      </c>
      <c r="J13" s="16">
        <v>21</v>
      </c>
      <c r="K13" s="52" t="str">
        <f>GRUPOS!K15</f>
        <v>VINÍCIUS/PATRÍCIA</v>
      </c>
      <c r="L13" s="90" t="s">
        <v>58</v>
      </c>
      <c r="M13" s="182"/>
    </row>
    <row r="14" spans="1:13" ht="25" customHeight="1" thickBot="1" x14ac:dyDescent="0.25">
      <c r="A14" s="180"/>
      <c r="B14" s="21">
        <v>4</v>
      </c>
      <c r="C14" s="22" t="s">
        <v>37</v>
      </c>
      <c r="D14" s="22" t="s">
        <v>155</v>
      </c>
      <c r="E14" s="102"/>
      <c r="F14" s="81" t="s">
        <v>61</v>
      </c>
      <c r="G14" s="77" t="str">
        <f>GRUPOS!O12</f>
        <v>RAQUEL/ELIAS</v>
      </c>
      <c r="H14" s="23">
        <v>14</v>
      </c>
      <c r="I14" s="23" t="s">
        <v>26</v>
      </c>
      <c r="J14" s="23">
        <v>21</v>
      </c>
      <c r="K14" s="53" t="str">
        <f>GRUPOS!O15</f>
        <v>PRISCILA/RAFA</v>
      </c>
      <c r="L14" s="71" t="s">
        <v>56</v>
      </c>
      <c r="M14" s="182"/>
    </row>
    <row r="15" spans="1:13" ht="25" customHeight="1" x14ac:dyDescent="0.2">
      <c r="A15" s="180"/>
      <c r="B15" s="49">
        <v>5</v>
      </c>
      <c r="C15" s="54" t="s">
        <v>22</v>
      </c>
      <c r="D15" s="86" t="s">
        <v>156</v>
      </c>
      <c r="E15" s="103"/>
      <c r="F15" s="82" t="s">
        <v>51</v>
      </c>
      <c r="G15" s="78" t="str">
        <f>GRUPOS!C13</f>
        <v>JOSÉ/SARA</v>
      </c>
      <c r="H15" s="33">
        <v>15</v>
      </c>
      <c r="I15" s="33" t="s">
        <v>26</v>
      </c>
      <c r="J15" s="33">
        <v>21</v>
      </c>
      <c r="K15" s="58" t="str">
        <f>GRUPOS!C14</f>
        <v>MAYARA/DIVINO</v>
      </c>
      <c r="L15" s="89" t="s">
        <v>52</v>
      </c>
      <c r="M15" s="182"/>
    </row>
    <row r="16" spans="1:13" ht="25" customHeight="1" x14ac:dyDescent="0.2">
      <c r="A16" s="180"/>
      <c r="B16" s="38">
        <v>6</v>
      </c>
      <c r="C16" s="17" t="s">
        <v>24</v>
      </c>
      <c r="D16" s="17" t="s">
        <v>156</v>
      </c>
      <c r="E16" s="101"/>
      <c r="F16" s="79" t="s">
        <v>54</v>
      </c>
      <c r="G16" s="76" t="str">
        <f>GRUPOS!G13</f>
        <v>THIAGO/DANILO</v>
      </c>
      <c r="H16" s="16">
        <v>21</v>
      </c>
      <c r="I16" s="16" t="s">
        <v>26</v>
      </c>
      <c r="J16" s="16">
        <v>18</v>
      </c>
      <c r="K16" s="52" t="str">
        <f>GRUPOS!G14</f>
        <v>LARISSA/JÚLIA</v>
      </c>
      <c r="L16" s="70" t="s">
        <v>62</v>
      </c>
      <c r="M16" s="182"/>
    </row>
    <row r="17" spans="1:13" ht="25" customHeight="1" x14ac:dyDescent="0.2">
      <c r="A17" s="180"/>
      <c r="B17" s="39">
        <v>7</v>
      </c>
      <c r="C17" s="17" t="s">
        <v>25</v>
      </c>
      <c r="D17" s="17" t="s">
        <v>157</v>
      </c>
      <c r="E17" s="101"/>
      <c r="F17" s="79" t="s">
        <v>64</v>
      </c>
      <c r="G17" s="76" t="str">
        <f>GRUPOS!K13</f>
        <v>BÁRBARA/JOÃO</v>
      </c>
      <c r="H17" s="144">
        <v>25</v>
      </c>
      <c r="I17" s="16" t="s">
        <v>26</v>
      </c>
      <c r="J17" s="16">
        <v>23</v>
      </c>
      <c r="K17" s="52" t="str">
        <f>GRUPOS!K14</f>
        <v>LUCAS/GABRIEL L.</v>
      </c>
      <c r="L17" s="70" t="s">
        <v>55</v>
      </c>
      <c r="M17" s="182"/>
    </row>
    <row r="18" spans="1:13" ht="25" customHeight="1" thickBot="1" x14ac:dyDescent="0.25">
      <c r="A18" s="180"/>
      <c r="B18" s="40">
        <v>8</v>
      </c>
      <c r="C18" s="22" t="s">
        <v>37</v>
      </c>
      <c r="D18" s="22" t="s">
        <v>157</v>
      </c>
      <c r="E18" s="102"/>
      <c r="F18" s="81" t="s">
        <v>65</v>
      </c>
      <c r="G18" s="77" t="str">
        <f>GRUPOS!O13</f>
        <v>MARCOS/ANTÔNIO</v>
      </c>
      <c r="H18" s="23">
        <v>21</v>
      </c>
      <c r="I18" s="23" t="s">
        <v>26</v>
      </c>
      <c r="J18" s="23">
        <v>7</v>
      </c>
      <c r="K18" s="53" t="str">
        <f>GRUPOS!O14</f>
        <v>CLARINHA/ARTHUR</v>
      </c>
      <c r="L18" s="71" t="s">
        <v>63</v>
      </c>
      <c r="M18" s="182"/>
    </row>
    <row r="19" spans="1:13" ht="25" customHeight="1" x14ac:dyDescent="0.2">
      <c r="A19" s="180"/>
      <c r="B19" s="34">
        <v>9</v>
      </c>
      <c r="C19" s="54" t="s">
        <v>22</v>
      </c>
      <c r="D19" s="27" t="s">
        <v>158</v>
      </c>
      <c r="E19" s="104"/>
      <c r="F19" s="83" t="s">
        <v>50</v>
      </c>
      <c r="G19" s="75" t="str">
        <f>GRUPOS!C12</f>
        <v>ANA LUIZA/KAIO</v>
      </c>
      <c r="H19" s="28">
        <v>21</v>
      </c>
      <c r="I19" s="28" t="s">
        <v>26</v>
      </c>
      <c r="J19" s="28">
        <v>9</v>
      </c>
      <c r="K19" s="57" t="str">
        <f>GRUPOS!C14</f>
        <v>MAYARA/DIVINO</v>
      </c>
      <c r="L19" s="72" t="s">
        <v>52</v>
      </c>
      <c r="M19" s="182"/>
    </row>
    <row r="20" spans="1:13" ht="25" customHeight="1" x14ac:dyDescent="0.2">
      <c r="A20" s="180"/>
      <c r="B20" s="20">
        <v>10</v>
      </c>
      <c r="C20" s="17" t="s">
        <v>24</v>
      </c>
      <c r="D20" s="15" t="s">
        <v>158</v>
      </c>
      <c r="E20" s="105"/>
      <c r="F20" s="79" t="s">
        <v>59</v>
      </c>
      <c r="G20" s="76" t="str">
        <f>GRUPOS!G12</f>
        <v>ANA C./VITOR BICHARA</v>
      </c>
      <c r="H20" s="16">
        <v>10</v>
      </c>
      <c r="I20" s="16" t="s">
        <v>26</v>
      </c>
      <c r="J20" s="16">
        <v>21</v>
      </c>
      <c r="K20" s="52" t="str">
        <f>GRUPOS!G14</f>
        <v>LARISSA/JÚLIA</v>
      </c>
      <c r="L20" s="70" t="s">
        <v>62</v>
      </c>
      <c r="M20" s="182"/>
    </row>
    <row r="21" spans="1:13" ht="25" customHeight="1" x14ac:dyDescent="0.2">
      <c r="A21" s="180"/>
      <c r="B21" s="20">
        <v>11</v>
      </c>
      <c r="C21" s="17" t="s">
        <v>25</v>
      </c>
      <c r="D21" s="17" t="s">
        <v>159</v>
      </c>
      <c r="E21" s="101"/>
      <c r="F21" s="79" t="s">
        <v>60</v>
      </c>
      <c r="G21" s="76" t="str">
        <f>GRUPOS!K12</f>
        <v>CRYS/LEO</v>
      </c>
      <c r="H21" s="16">
        <v>11</v>
      </c>
      <c r="I21" s="16" t="s">
        <v>26</v>
      </c>
      <c r="J21" s="16">
        <v>21</v>
      </c>
      <c r="K21" s="52" t="str">
        <f>GRUPOS!K14</f>
        <v>LUCAS/GABRIEL L.</v>
      </c>
      <c r="L21" s="70" t="s">
        <v>55</v>
      </c>
      <c r="M21" s="182"/>
    </row>
    <row r="22" spans="1:13" ht="25" customHeight="1" thickBot="1" x14ac:dyDescent="0.25">
      <c r="A22" s="180"/>
      <c r="B22" s="21">
        <v>12</v>
      </c>
      <c r="C22" s="22" t="s">
        <v>37</v>
      </c>
      <c r="D22" s="22" t="s">
        <v>159</v>
      </c>
      <c r="E22" s="102"/>
      <c r="F22" s="81" t="s">
        <v>61</v>
      </c>
      <c r="G22" s="77" t="str">
        <f>GRUPOS!O12</f>
        <v>RAQUEL/ELIAS</v>
      </c>
      <c r="H22" s="23">
        <v>21</v>
      </c>
      <c r="I22" s="23" t="s">
        <v>26</v>
      </c>
      <c r="J22" s="23">
        <v>18</v>
      </c>
      <c r="K22" s="53" t="str">
        <f>GRUPOS!O14</f>
        <v>CLARINHA/ARTHUR</v>
      </c>
      <c r="L22" s="71" t="s">
        <v>63</v>
      </c>
      <c r="M22" s="182"/>
    </row>
    <row r="23" spans="1:13" ht="25" customHeight="1" x14ac:dyDescent="0.2">
      <c r="A23" s="180"/>
      <c r="B23" s="26">
        <v>13</v>
      </c>
      <c r="C23" s="54" t="s">
        <v>22</v>
      </c>
      <c r="D23" s="27" t="s">
        <v>160</v>
      </c>
      <c r="E23" s="104"/>
      <c r="F23" s="83" t="s">
        <v>51</v>
      </c>
      <c r="G23" s="75" t="str">
        <f>GRUPOS!C13</f>
        <v>JOSÉ/SARA</v>
      </c>
      <c r="H23" s="28">
        <v>17</v>
      </c>
      <c r="I23" s="28" t="s">
        <v>26</v>
      </c>
      <c r="J23" s="28">
        <v>21</v>
      </c>
      <c r="K23" s="57" t="str">
        <f>GRUPOS!C15</f>
        <v>CYNTIA/SALVADOR</v>
      </c>
      <c r="L23" s="72" t="s">
        <v>53</v>
      </c>
      <c r="M23" s="182"/>
    </row>
    <row r="24" spans="1:13" ht="25" customHeight="1" x14ac:dyDescent="0.2">
      <c r="A24" s="180"/>
      <c r="B24" s="20">
        <v>14</v>
      </c>
      <c r="C24" s="17" t="s">
        <v>24</v>
      </c>
      <c r="D24" s="17" t="s">
        <v>160</v>
      </c>
      <c r="E24" s="101"/>
      <c r="F24" s="79" t="s">
        <v>54</v>
      </c>
      <c r="G24" s="76" t="str">
        <f>GRUPOS!G13</f>
        <v>THIAGO/DANILO</v>
      </c>
      <c r="H24" s="16">
        <v>14</v>
      </c>
      <c r="I24" s="16" t="s">
        <v>26</v>
      </c>
      <c r="J24" s="16">
        <v>21</v>
      </c>
      <c r="K24" s="52" t="str">
        <f>GRUPOS!G15</f>
        <v>ARTEMIS/BETO</v>
      </c>
      <c r="L24" s="70" t="s">
        <v>57</v>
      </c>
      <c r="M24" s="182"/>
    </row>
    <row r="25" spans="1:13" ht="25" customHeight="1" x14ac:dyDescent="0.2">
      <c r="A25" s="180"/>
      <c r="B25" s="20">
        <v>15</v>
      </c>
      <c r="C25" s="17" t="s">
        <v>25</v>
      </c>
      <c r="D25" s="15" t="s">
        <v>161</v>
      </c>
      <c r="E25" s="105"/>
      <c r="F25" s="79" t="s">
        <v>64</v>
      </c>
      <c r="G25" s="76" t="str">
        <f>GRUPOS!K13</f>
        <v>BÁRBARA/JOÃO</v>
      </c>
      <c r="H25" s="16">
        <v>21</v>
      </c>
      <c r="I25" s="16" t="s">
        <v>26</v>
      </c>
      <c r="J25" s="16">
        <v>12</v>
      </c>
      <c r="K25" s="52" t="str">
        <f>GRUPOS!K15</f>
        <v>VINÍCIUS/PATRÍCIA</v>
      </c>
      <c r="L25" s="70" t="s">
        <v>58</v>
      </c>
      <c r="M25" s="182"/>
    </row>
    <row r="26" spans="1:13" ht="25" customHeight="1" thickBot="1" x14ac:dyDescent="0.25">
      <c r="A26" s="180"/>
      <c r="B26" s="36">
        <v>16</v>
      </c>
      <c r="C26" s="119" t="s">
        <v>37</v>
      </c>
      <c r="D26" s="119" t="s">
        <v>161</v>
      </c>
      <c r="E26" s="106"/>
      <c r="F26" s="84" t="s">
        <v>65</v>
      </c>
      <c r="G26" s="91" t="str">
        <f>GRUPOS!O13</f>
        <v>MARCOS/ANTÔNIO</v>
      </c>
      <c r="H26" s="32">
        <v>21</v>
      </c>
      <c r="I26" s="32" t="s">
        <v>26</v>
      </c>
      <c r="J26" s="32">
        <v>11</v>
      </c>
      <c r="K26" s="92" t="str">
        <f>GRUPOS!O15</f>
        <v>PRISCILA/RAFA</v>
      </c>
      <c r="L26" s="73" t="s">
        <v>56</v>
      </c>
      <c r="M26" s="182"/>
    </row>
    <row r="27" spans="1:13" ht="25" customHeight="1" x14ac:dyDescent="0.2">
      <c r="A27" s="180"/>
      <c r="B27" s="26">
        <v>17</v>
      </c>
      <c r="C27" s="54" t="s">
        <v>22</v>
      </c>
      <c r="D27" s="54" t="s">
        <v>162</v>
      </c>
      <c r="E27" s="124"/>
      <c r="F27" s="83" t="s">
        <v>50</v>
      </c>
      <c r="G27" s="75" t="str">
        <f>GRUPOS!C12</f>
        <v>ANA LUIZA/KAIO</v>
      </c>
      <c r="H27" s="32">
        <v>21</v>
      </c>
      <c r="I27" s="32" t="s">
        <v>26</v>
      </c>
      <c r="J27" s="32">
        <v>11</v>
      </c>
      <c r="K27" s="125" t="str">
        <f>GRUPOS!C13</f>
        <v>JOSÉ/SARA</v>
      </c>
      <c r="L27" s="83" t="s">
        <v>51</v>
      </c>
      <c r="M27" s="182"/>
    </row>
    <row r="28" spans="1:13" ht="25" customHeight="1" thickBot="1" x14ac:dyDescent="0.25">
      <c r="A28" s="180"/>
      <c r="B28" s="20">
        <v>18</v>
      </c>
      <c r="C28" s="17" t="s">
        <v>24</v>
      </c>
      <c r="D28" s="17" t="s">
        <v>162</v>
      </c>
      <c r="E28" s="101"/>
      <c r="F28" s="79" t="s">
        <v>59</v>
      </c>
      <c r="G28" s="76" t="str">
        <f>GRUPOS!G12</f>
        <v>ANA C./VITOR BICHARA</v>
      </c>
      <c r="H28" s="23">
        <v>21</v>
      </c>
      <c r="I28" s="23" t="s">
        <v>26</v>
      </c>
      <c r="J28" s="23">
        <v>18</v>
      </c>
      <c r="K28" s="126" t="str">
        <f>GRUPOS!G13</f>
        <v>THIAGO/DANILO</v>
      </c>
      <c r="L28" s="79" t="s">
        <v>54</v>
      </c>
      <c r="M28" s="182"/>
    </row>
    <row r="29" spans="1:13" ht="25" customHeight="1" x14ac:dyDescent="0.2">
      <c r="A29" s="180"/>
      <c r="B29" s="20">
        <v>19</v>
      </c>
      <c r="C29" s="17" t="s">
        <v>25</v>
      </c>
      <c r="D29" s="15" t="s">
        <v>163</v>
      </c>
      <c r="E29" s="105"/>
      <c r="F29" s="79" t="s">
        <v>60</v>
      </c>
      <c r="G29" s="76" t="str">
        <f>GRUPOS!K12</f>
        <v>CRYS/LEO</v>
      </c>
      <c r="H29" s="28">
        <v>17</v>
      </c>
      <c r="I29" s="28" t="s">
        <v>26</v>
      </c>
      <c r="J29" s="28">
        <v>21</v>
      </c>
      <c r="K29" s="126" t="str">
        <f>GRUPOS!K13</f>
        <v>BÁRBARA/JOÃO</v>
      </c>
      <c r="L29" s="79" t="s">
        <v>64</v>
      </c>
      <c r="M29" s="182"/>
    </row>
    <row r="30" spans="1:13" ht="25" customHeight="1" thickBot="1" x14ac:dyDescent="0.25">
      <c r="A30" s="180"/>
      <c r="B30" s="21">
        <v>20</v>
      </c>
      <c r="C30" s="22" t="s">
        <v>37</v>
      </c>
      <c r="D30" s="22" t="s">
        <v>163</v>
      </c>
      <c r="E30" s="102"/>
      <c r="F30" s="81" t="s">
        <v>61</v>
      </c>
      <c r="G30" s="77" t="str">
        <f>GRUPOS!O12</f>
        <v>RAQUEL/ELIAS</v>
      </c>
      <c r="H30" s="16">
        <v>14</v>
      </c>
      <c r="I30" s="16" t="s">
        <v>26</v>
      </c>
      <c r="J30" s="16">
        <v>21</v>
      </c>
      <c r="K30" s="127" t="str">
        <f>GRUPOS!O13</f>
        <v>MARCOS/ANTÔNIO</v>
      </c>
      <c r="L30" s="81" t="s">
        <v>65</v>
      </c>
      <c r="M30" s="182"/>
    </row>
    <row r="31" spans="1:13" ht="25" customHeight="1" thickBot="1" x14ac:dyDescent="0.25">
      <c r="A31" s="180"/>
      <c r="B31" s="35">
        <v>21</v>
      </c>
      <c r="C31" s="86" t="s">
        <v>22</v>
      </c>
      <c r="D31" s="118" t="s">
        <v>164</v>
      </c>
      <c r="E31" s="100"/>
      <c r="F31" s="85" t="s">
        <v>52</v>
      </c>
      <c r="G31" s="78" t="str">
        <f>GRUPOS!C14</f>
        <v>MAYARA/DIVINO</v>
      </c>
      <c r="H31" s="23">
        <v>21</v>
      </c>
      <c r="I31" s="23" t="s">
        <v>26</v>
      </c>
      <c r="J31" s="23">
        <v>18</v>
      </c>
      <c r="K31" s="58" t="str">
        <f>GRUPOS!C15</f>
        <v>CYNTIA/SALVADOR</v>
      </c>
      <c r="L31" s="74" t="s">
        <v>53</v>
      </c>
      <c r="M31" s="182"/>
    </row>
    <row r="32" spans="1:13" ht="25" customHeight="1" x14ac:dyDescent="0.2">
      <c r="A32" s="180"/>
      <c r="B32" s="20">
        <v>22</v>
      </c>
      <c r="C32" s="17" t="s">
        <v>24</v>
      </c>
      <c r="D32" s="17" t="s">
        <v>164</v>
      </c>
      <c r="E32" s="101"/>
      <c r="F32" s="79" t="s">
        <v>62</v>
      </c>
      <c r="G32" s="76" t="str">
        <f>GRUPOS!G14</f>
        <v>LARISSA/JÚLIA</v>
      </c>
      <c r="H32" s="28">
        <v>17</v>
      </c>
      <c r="I32" s="28" t="s">
        <v>26</v>
      </c>
      <c r="J32" s="28">
        <v>21</v>
      </c>
      <c r="K32" s="52" t="str">
        <f>GRUPOS!G15</f>
        <v>ARTEMIS/BETO</v>
      </c>
      <c r="L32" s="70" t="s">
        <v>57</v>
      </c>
      <c r="M32" s="182"/>
    </row>
    <row r="33" spans="1:16" ht="25" customHeight="1" x14ac:dyDescent="0.2">
      <c r="A33" s="180"/>
      <c r="B33" s="20">
        <v>23</v>
      </c>
      <c r="C33" s="17" t="s">
        <v>25</v>
      </c>
      <c r="D33" s="17" t="s">
        <v>165</v>
      </c>
      <c r="E33" s="101"/>
      <c r="F33" s="79" t="s">
        <v>55</v>
      </c>
      <c r="G33" s="76" t="str">
        <f>GRUPOS!K14</f>
        <v>LUCAS/GABRIEL L.</v>
      </c>
      <c r="H33" s="16">
        <v>14</v>
      </c>
      <c r="I33" s="16" t="s">
        <v>26</v>
      </c>
      <c r="J33" s="16">
        <v>21</v>
      </c>
      <c r="K33" s="52" t="str">
        <f>GRUPOS!K15</f>
        <v>VINÍCIUS/PATRÍCIA</v>
      </c>
      <c r="L33" s="70" t="s">
        <v>58</v>
      </c>
      <c r="M33" s="182"/>
    </row>
    <row r="34" spans="1:16" ht="25" customHeight="1" thickBot="1" x14ac:dyDescent="0.25">
      <c r="A34" s="180"/>
      <c r="B34" s="21">
        <v>24</v>
      </c>
      <c r="C34" s="22" t="s">
        <v>37</v>
      </c>
      <c r="D34" s="22" t="s">
        <v>165</v>
      </c>
      <c r="E34" s="102"/>
      <c r="F34" s="81" t="s">
        <v>63</v>
      </c>
      <c r="G34" s="77" t="str">
        <f>GRUPOS!O14</f>
        <v>CLARINHA/ARTHUR</v>
      </c>
      <c r="H34" s="32">
        <v>21</v>
      </c>
      <c r="I34" s="32" t="s">
        <v>26</v>
      </c>
      <c r="J34" s="32">
        <v>11</v>
      </c>
      <c r="K34" s="53" t="str">
        <f>GRUPOS!O15</f>
        <v>PRISCILA/RAFA</v>
      </c>
      <c r="L34" s="71" t="s">
        <v>56</v>
      </c>
      <c r="M34" s="182"/>
    </row>
    <row r="35" spans="1:16" ht="10" customHeight="1" thickBot="1" x14ac:dyDescent="0.25">
      <c r="A35" s="180"/>
      <c r="B35" s="184"/>
      <c r="C35" s="184"/>
      <c r="D35" s="184"/>
      <c r="E35" s="184"/>
      <c r="F35" s="184"/>
      <c r="G35" s="184"/>
      <c r="H35" s="184"/>
      <c r="I35" s="184"/>
      <c r="J35" s="184"/>
      <c r="K35" s="184"/>
      <c r="L35" s="184"/>
      <c r="M35" s="182"/>
    </row>
    <row r="36" spans="1:16" ht="25" customHeight="1" thickBot="1" x14ac:dyDescent="0.25">
      <c r="A36" s="180"/>
      <c r="B36" s="171" t="s">
        <v>47</v>
      </c>
      <c r="C36" s="172"/>
      <c r="D36" s="172"/>
      <c r="E36" s="172"/>
      <c r="F36" s="172"/>
      <c r="G36" s="172"/>
      <c r="H36" s="172"/>
      <c r="I36" s="172"/>
      <c r="J36" s="172"/>
      <c r="K36" s="172"/>
      <c r="L36" s="173"/>
      <c r="M36" s="182"/>
    </row>
    <row r="37" spans="1:16" ht="25" customHeight="1" x14ac:dyDescent="0.2">
      <c r="A37" s="180"/>
      <c r="B37" s="26">
        <v>25</v>
      </c>
      <c r="C37" s="27" t="s">
        <v>45</v>
      </c>
      <c r="D37" s="27" t="s">
        <v>166</v>
      </c>
      <c r="E37" s="27"/>
      <c r="F37" s="145" t="s">
        <v>1</v>
      </c>
      <c r="G37" s="157" t="str">
        <f>'AVERAGE FEM'!C57</f>
        <v>1º Colocado Geral</v>
      </c>
      <c r="H37" s="28"/>
      <c r="I37" s="28" t="s">
        <v>26</v>
      </c>
      <c r="J37" s="28"/>
      <c r="K37" s="159" t="str">
        <f>'AVERAGE FEM'!C64</f>
        <v>8º Colocado Geral</v>
      </c>
      <c r="L37" s="148" t="s">
        <v>8</v>
      </c>
      <c r="M37" s="182"/>
      <c r="O37" s="203" t="s">
        <v>136</v>
      </c>
      <c r="P37" s="207" t="s">
        <v>173</v>
      </c>
    </row>
    <row r="38" spans="1:16" ht="25" customHeight="1" x14ac:dyDescent="0.2">
      <c r="A38" s="180"/>
      <c r="B38" s="18">
        <v>26</v>
      </c>
      <c r="C38" s="15" t="s">
        <v>45</v>
      </c>
      <c r="D38" s="15" t="s">
        <v>166</v>
      </c>
      <c r="E38" s="17"/>
      <c r="F38" s="146" t="s">
        <v>2</v>
      </c>
      <c r="G38" s="161" t="str">
        <f>'AVERAGE FEM'!C60</f>
        <v>4º Colocado Geral</v>
      </c>
      <c r="H38" s="16"/>
      <c r="I38" s="16" t="s">
        <v>26</v>
      </c>
      <c r="J38" s="16"/>
      <c r="K38" s="162" t="str">
        <f>'AVERAGE FEM'!C61</f>
        <v>5º Colocado Geral</v>
      </c>
      <c r="L38" s="149" t="s">
        <v>5</v>
      </c>
      <c r="M38" s="182"/>
      <c r="O38" s="204"/>
      <c r="P38" s="208"/>
    </row>
    <row r="39" spans="1:16" ht="25" customHeight="1" x14ac:dyDescent="0.2">
      <c r="A39" s="180"/>
      <c r="B39" s="18">
        <v>27</v>
      </c>
      <c r="C39" s="15" t="s">
        <v>45</v>
      </c>
      <c r="D39" s="15" t="s">
        <v>167</v>
      </c>
      <c r="E39" s="17"/>
      <c r="F39" s="146" t="s">
        <v>3</v>
      </c>
      <c r="G39" s="161" t="str">
        <f>'AVERAGE FEM'!C58</f>
        <v>2º Colocado Geral</v>
      </c>
      <c r="H39" s="16"/>
      <c r="I39" s="16" t="s">
        <v>26</v>
      </c>
      <c r="J39" s="16"/>
      <c r="K39" s="162" t="str">
        <f>'AVERAGE FEM'!C63</f>
        <v>7º Colocado Geral</v>
      </c>
      <c r="L39" s="149" t="s">
        <v>7</v>
      </c>
      <c r="M39" s="182"/>
      <c r="O39" s="204"/>
      <c r="P39" s="208" t="s">
        <v>174</v>
      </c>
    </row>
    <row r="40" spans="1:16" ht="25" customHeight="1" thickBot="1" x14ac:dyDescent="0.25">
      <c r="A40" s="180"/>
      <c r="B40" s="29">
        <v>28</v>
      </c>
      <c r="C40" s="30" t="s">
        <v>45</v>
      </c>
      <c r="D40" s="30" t="s">
        <v>167</v>
      </c>
      <c r="E40" s="22"/>
      <c r="F40" s="147" t="s">
        <v>4</v>
      </c>
      <c r="G40" s="158" t="str">
        <f>'AVERAGE FEM'!C59</f>
        <v>3º Colocado Geral</v>
      </c>
      <c r="H40" s="23"/>
      <c r="I40" s="23" t="s">
        <v>26</v>
      </c>
      <c r="J40" s="23"/>
      <c r="K40" s="160" t="str">
        <f>'AVERAGE FEM'!C62</f>
        <v>6º Colocado Geral</v>
      </c>
      <c r="L40" s="150" t="s">
        <v>6</v>
      </c>
      <c r="M40" s="182"/>
      <c r="O40" s="204"/>
      <c r="P40" s="209"/>
    </row>
    <row r="41" spans="1:16" ht="10" customHeight="1" thickBot="1" x14ac:dyDescent="0.25">
      <c r="A41" s="180"/>
      <c r="B41" s="185"/>
      <c r="C41" s="185"/>
      <c r="D41" s="185"/>
      <c r="E41" s="185"/>
      <c r="F41" s="185"/>
      <c r="G41" s="185"/>
      <c r="H41" s="185"/>
      <c r="I41" s="185"/>
      <c r="J41" s="185"/>
      <c r="K41" s="185"/>
      <c r="L41" s="185"/>
      <c r="M41" s="182"/>
    </row>
    <row r="42" spans="1:16" ht="25" customHeight="1" thickBot="1" x14ac:dyDescent="0.25">
      <c r="A42" s="180"/>
      <c r="B42" s="171" t="s">
        <v>32</v>
      </c>
      <c r="C42" s="172"/>
      <c r="D42" s="172"/>
      <c r="E42" s="172"/>
      <c r="F42" s="172"/>
      <c r="G42" s="172"/>
      <c r="H42" s="172"/>
      <c r="I42" s="172"/>
      <c r="J42" s="172"/>
      <c r="K42" s="172"/>
      <c r="L42" s="173"/>
      <c r="M42" s="182"/>
    </row>
    <row r="43" spans="1:16" ht="25" customHeight="1" x14ac:dyDescent="0.2">
      <c r="A43" s="180"/>
      <c r="B43" s="26">
        <v>29</v>
      </c>
      <c r="C43" s="27" t="s">
        <v>46</v>
      </c>
      <c r="D43" s="27" t="s">
        <v>168</v>
      </c>
      <c r="E43" s="27"/>
      <c r="F43" s="154" t="s">
        <v>67</v>
      </c>
      <c r="G43" s="163" t="s">
        <v>146</v>
      </c>
      <c r="H43" s="28"/>
      <c r="I43" s="27" t="s">
        <v>26</v>
      </c>
      <c r="J43" s="28"/>
      <c r="K43" s="165" t="s">
        <v>147</v>
      </c>
      <c r="L43" s="151" t="s">
        <v>69</v>
      </c>
      <c r="M43" s="182"/>
      <c r="O43" s="203" t="s">
        <v>136</v>
      </c>
      <c r="P43" s="205" t="s">
        <v>175</v>
      </c>
    </row>
    <row r="44" spans="1:16" ht="25" customHeight="1" thickBot="1" x14ac:dyDescent="0.25">
      <c r="A44" s="180"/>
      <c r="B44" s="29">
        <v>30</v>
      </c>
      <c r="C44" s="30" t="s">
        <v>46</v>
      </c>
      <c r="D44" s="30" t="s">
        <v>168</v>
      </c>
      <c r="E44" s="22"/>
      <c r="F44" s="155" t="s">
        <v>68</v>
      </c>
      <c r="G44" s="164" t="s">
        <v>148</v>
      </c>
      <c r="H44" s="23"/>
      <c r="I44" s="30" t="s">
        <v>26</v>
      </c>
      <c r="J44" s="23"/>
      <c r="K44" s="166" t="s">
        <v>149</v>
      </c>
      <c r="L44" s="152" t="s">
        <v>70</v>
      </c>
      <c r="M44" s="182"/>
      <c r="O44" s="204"/>
      <c r="P44" s="206"/>
    </row>
    <row r="45" spans="1:16" ht="10" customHeight="1" thickBot="1" x14ac:dyDescent="0.25">
      <c r="A45" s="180"/>
      <c r="B45" s="185"/>
      <c r="C45" s="185"/>
      <c r="D45" s="185"/>
      <c r="E45" s="185"/>
      <c r="F45" s="185"/>
      <c r="G45" s="185"/>
      <c r="H45" s="185"/>
      <c r="I45" s="185"/>
      <c r="J45" s="185"/>
      <c r="K45" s="185"/>
      <c r="L45" s="185"/>
      <c r="M45" s="182"/>
    </row>
    <row r="46" spans="1:16" ht="25" customHeight="1" thickBot="1" x14ac:dyDescent="0.25">
      <c r="A46" s="180"/>
      <c r="B46" s="171" t="s">
        <v>29</v>
      </c>
      <c r="C46" s="172"/>
      <c r="D46" s="172"/>
      <c r="E46" s="172"/>
      <c r="F46" s="172"/>
      <c r="G46" s="172"/>
      <c r="H46" s="172"/>
      <c r="I46" s="172"/>
      <c r="J46" s="172"/>
      <c r="K46" s="172"/>
      <c r="L46" s="173"/>
      <c r="M46" s="182"/>
    </row>
    <row r="47" spans="1:16" ht="25" customHeight="1" thickBot="1" x14ac:dyDescent="0.25">
      <c r="A47" s="180"/>
      <c r="B47" s="25">
        <v>31</v>
      </c>
      <c r="C47" s="24" t="s">
        <v>116</v>
      </c>
      <c r="D47" s="24" t="s">
        <v>169</v>
      </c>
      <c r="E47" s="24"/>
      <c r="F47" s="156" t="s">
        <v>71</v>
      </c>
      <c r="G47" s="167" t="s">
        <v>150</v>
      </c>
      <c r="H47" s="19"/>
      <c r="I47" s="24" t="s">
        <v>26</v>
      </c>
      <c r="J47" s="19"/>
      <c r="K47" s="168" t="s">
        <v>151</v>
      </c>
      <c r="L47" s="153" t="s">
        <v>72</v>
      </c>
      <c r="M47" s="182"/>
      <c r="O47" s="143" t="s">
        <v>136</v>
      </c>
      <c r="P47" s="170" t="s">
        <v>175</v>
      </c>
    </row>
    <row r="48" spans="1:16" ht="10" customHeight="1" thickBot="1" x14ac:dyDescent="0.25">
      <c r="A48" s="180"/>
      <c r="B48" s="185"/>
      <c r="C48" s="185"/>
      <c r="D48" s="185"/>
      <c r="E48" s="185"/>
      <c r="F48" s="185"/>
      <c r="G48" s="185"/>
      <c r="H48" s="185"/>
      <c r="I48" s="185"/>
      <c r="J48" s="185"/>
      <c r="K48" s="185"/>
      <c r="L48" s="185"/>
      <c r="M48" s="182"/>
      <c r="P48" s="169"/>
    </row>
    <row r="49" spans="1:16" ht="25" customHeight="1" thickBot="1" x14ac:dyDescent="0.25">
      <c r="A49" s="180"/>
      <c r="B49" s="171" t="s">
        <v>30</v>
      </c>
      <c r="C49" s="172"/>
      <c r="D49" s="172"/>
      <c r="E49" s="172"/>
      <c r="F49" s="172"/>
      <c r="G49" s="172"/>
      <c r="H49" s="172"/>
      <c r="I49" s="172"/>
      <c r="J49" s="172"/>
      <c r="K49" s="172"/>
      <c r="L49" s="173"/>
      <c r="M49" s="182"/>
    </row>
    <row r="50" spans="1:16" ht="25" customHeight="1" thickBot="1" x14ac:dyDescent="0.25">
      <c r="A50" s="180"/>
      <c r="B50" s="25">
        <v>32</v>
      </c>
      <c r="C50" s="24" t="s">
        <v>117</v>
      </c>
      <c r="D50" s="24" t="s">
        <v>169</v>
      </c>
      <c r="E50" s="24"/>
      <c r="F50" s="156" t="s">
        <v>73</v>
      </c>
      <c r="G50" s="167" t="s">
        <v>152</v>
      </c>
      <c r="H50" s="19"/>
      <c r="I50" s="24" t="s">
        <v>26</v>
      </c>
      <c r="J50" s="19"/>
      <c r="K50" s="168" t="s">
        <v>153</v>
      </c>
      <c r="L50" s="153" t="s">
        <v>74</v>
      </c>
      <c r="M50" s="182"/>
      <c r="O50" s="143" t="s">
        <v>136</v>
      </c>
      <c r="P50" s="170" t="s">
        <v>175</v>
      </c>
    </row>
    <row r="51" spans="1:16" ht="10" customHeight="1" thickBot="1" x14ac:dyDescent="0.25">
      <c r="A51" s="181"/>
      <c r="B51" s="185"/>
      <c r="C51" s="185"/>
      <c r="D51" s="185"/>
      <c r="E51" s="185"/>
      <c r="F51" s="185"/>
      <c r="G51" s="185"/>
      <c r="H51" s="185"/>
      <c r="I51" s="185"/>
      <c r="J51" s="185"/>
      <c r="K51" s="185"/>
      <c r="L51" s="185"/>
      <c r="M51" s="183"/>
    </row>
    <row r="53" spans="1:16" ht="30" customHeight="1" x14ac:dyDescent="0.2"/>
    <row r="54" spans="1:16" ht="30" customHeight="1" x14ac:dyDescent="0.2"/>
    <row r="55" spans="1:16" ht="30" customHeight="1" x14ac:dyDescent="0.2"/>
    <row r="56" spans="1:16" ht="30" customHeight="1" x14ac:dyDescent="0.2"/>
    <row r="57" spans="1:16" ht="30" customHeight="1" x14ac:dyDescent="0.2"/>
    <row r="58" spans="1:16" ht="30" customHeight="1" x14ac:dyDescent="0.2"/>
    <row r="59" spans="1:16" ht="30" customHeight="1" x14ac:dyDescent="0.2"/>
    <row r="60" spans="1:16" ht="30" customHeight="1" x14ac:dyDescent="0.2"/>
    <row r="61" spans="1:16" ht="30" customHeight="1" x14ac:dyDescent="0.2"/>
    <row r="62" spans="1:16" ht="30" customHeight="1" x14ac:dyDescent="0.2"/>
    <row r="63" spans="1:16" ht="30" customHeight="1" x14ac:dyDescent="0.2"/>
    <row r="64" spans="1:16" ht="30" customHeight="1" x14ac:dyDescent="0.2"/>
    <row r="65" ht="30" customHeight="1" x14ac:dyDescent="0.2"/>
    <row r="66" ht="30" customHeight="1" x14ac:dyDescent="0.2"/>
    <row r="67" ht="30" customHeight="1" x14ac:dyDescent="0.2"/>
    <row r="68" ht="30" customHeight="1" x14ac:dyDescent="0.2"/>
    <row r="69" ht="30" customHeight="1" x14ac:dyDescent="0.2"/>
  </sheetData>
  <mergeCells count="26">
    <mergeCell ref="O43:O44"/>
    <mergeCell ref="P43:P44"/>
    <mergeCell ref="O37:O40"/>
    <mergeCell ref="P37:P38"/>
    <mergeCell ref="P39:P40"/>
    <mergeCell ref="B2:L2"/>
    <mergeCell ref="B3:L3"/>
    <mergeCell ref="A1:M1"/>
    <mergeCell ref="M2:M7"/>
    <mergeCell ref="A2:A7"/>
    <mergeCell ref="B5:L5"/>
    <mergeCell ref="B7:L7"/>
    <mergeCell ref="B6:L6"/>
    <mergeCell ref="B49:L49"/>
    <mergeCell ref="A8:M8"/>
    <mergeCell ref="B9:L9"/>
    <mergeCell ref="B36:L36"/>
    <mergeCell ref="B42:L42"/>
    <mergeCell ref="B46:L46"/>
    <mergeCell ref="A9:A51"/>
    <mergeCell ref="M9:M51"/>
    <mergeCell ref="B35:L35"/>
    <mergeCell ref="B41:L41"/>
    <mergeCell ref="B45:L45"/>
    <mergeCell ref="B48:L48"/>
    <mergeCell ref="B51:L51"/>
  </mergeCells>
  <phoneticPr fontId="2" type="noConversion"/>
  <printOptions horizontalCentered="1" verticalCentered="1"/>
  <pageMargins left="0.19685039370078741" right="0.19685039370078741" top="0.19685039370078741" bottom="0.19685039370078741" header="0" footer="0"/>
  <pageSetup paperSize="9" scale="4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E512C-149A-4268-8529-7B8AE968C8A6}">
  <sheetPr>
    <pageSetUpPr fitToPage="1"/>
  </sheetPr>
  <dimension ref="A1:Q70"/>
  <sheetViews>
    <sheetView showGridLines="0" zoomScaleNormal="100" workbookViewId="0">
      <selection activeCell="S7" sqref="S7"/>
    </sheetView>
  </sheetViews>
  <sheetFormatPr baseColWidth="10" defaultColWidth="8.83203125" defaultRowHeight="15" x14ac:dyDescent="0.2"/>
  <cols>
    <col min="1" max="1" width="1.6640625" customWidth="1"/>
    <col min="2" max="2" width="23.6640625" customWidth="1"/>
    <col min="3" max="4" width="8.6640625" customWidth="1"/>
    <col min="5" max="5" width="1.6640625" customWidth="1"/>
    <col min="6" max="6" width="23.6640625" customWidth="1"/>
    <col min="7" max="8" width="8.6640625" customWidth="1"/>
    <col min="9" max="9" width="1.6640625" customWidth="1"/>
    <col min="10" max="10" width="29.83203125" bestFit="1" customWidth="1"/>
    <col min="11" max="12" width="8.6640625" customWidth="1"/>
    <col min="13" max="13" width="1.6640625" customWidth="1"/>
    <col min="14" max="14" width="36.83203125" bestFit="1" customWidth="1"/>
    <col min="15" max="16" width="8.6640625" customWidth="1"/>
    <col min="17" max="17" width="1.6640625" customWidth="1"/>
  </cols>
  <sheetData>
    <row r="1" spans="1:17" ht="10" customHeight="1" thickBot="1" x14ac:dyDescent="0.25">
      <c r="A1" s="192"/>
      <c r="B1" s="306"/>
      <c r="C1" s="306"/>
      <c r="D1" s="306"/>
      <c r="E1" s="306"/>
      <c r="F1" s="306"/>
      <c r="G1" s="306"/>
      <c r="H1" s="306"/>
      <c r="I1" s="306"/>
      <c r="J1" s="306"/>
      <c r="K1" s="306"/>
      <c r="L1" s="306"/>
      <c r="M1" s="306"/>
      <c r="N1" s="306"/>
      <c r="O1" s="306"/>
      <c r="P1" s="306"/>
      <c r="Q1" s="194"/>
    </row>
    <row r="2" spans="1:17" ht="45" customHeight="1" x14ac:dyDescent="0.2">
      <c r="A2" s="180"/>
      <c r="B2" s="265" t="s">
        <v>121</v>
      </c>
      <c r="C2" s="266"/>
      <c r="D2" s="266"/>
      <c r="E2" s="266"/>
      <c r="F2" s="266"/>
      <c r="G2" s="266"/>
      <c r="H2" s="266"/>
      <c r="I2" s="266"/>
      <c r="J2" s="266"/>
      <c r="K2" s="266"/>
      <c r="L2" s="266"/>
      <c r="M2" s="266"/>
      <c r="N2" s="266"/>
      <c r="O2" s="266"/>
      <c r="P2" s="267"/>
      <c r="Q2" s="195"/>
    </row>
    <row r="3" spans="1:17" ht="45" customHeight="1" thickBot="1" x14ac:dyDescent="0.25">
      <c r="A3" s="180"/>
      <c r="B3" s="189" t="s">
        <v>122</v>
      </c>
      <c r="C3" s="190"/>
      <c r="D3" s="190"/>
      <c r="E3" s="190"/>
      <c r="F3" s="190"/>
      <c r="G3" s="190"/>
      <c r="H3" s="190"/>
      <c r="I3" s="190"/>
      <c r="J3" s="190"/>
      <c r="K3" s="190"/>
      <c r="L3" s="190"/>
      <c r="M3" s="190"/>
      <c r="N3" s="190"/>
      <c r="O3" s="190"/>
      <c r="P3" s="191"/>
      <c r="Q3" s="195"/>
    </row>
    <row r="4" spans="1:17" ht="10" customHeight="1" thickBot="1" x14ac:dyDescent="0.25">
      <c r="A4" s="180"/>
      <c r="B4" s="307"/>
      <c r="C4" s="307"/>
      <c r="D4" s="307"/>
      <c r="E4" s="307"/>
      <c r="F4" s="307"/>
      <c r="G4" s="307"/>
      <c r="H4" s="307"/>
      <c r="I4" s="307"/>
      <c r="J4" s="307"/>
      <c r="K4" s="307"/>
      <c r="L4" s="307"/>
      <c r="M4" s="307"/>
      <c r="N4" s="307"/>
      <c r="O4" s="307"/>
      <c r="P4" s="307"/>
      <c r="Q4" s="195"/>
    </row>
    <row r="5" spans="1:17" ht="40" customHeight="1" thickBot="1" x14ac:dyDescent="0.25">
      <c r="A5" s="180"/>
      <c r="B5" s="196" t="s">
        <v>126</v>
      </c>
      <c r="C5" s="197"/>
      <c r="D5" s="197"/>
      <c r="E5" s="197"/>
      <c r="F5" s="197"/>
      <c r="G5" s="197"/>
      <c r="H5" s="197"/>
      <c r="I5" s="197"/>
      <c r="J5" s="197"/>
      <c r="K5" s="197"/>
      <c r="L5" s="197"/>
      <c r="M5" s="197"/>
      <c r="N5" s="197"/>
      <c r="O5" s="197"/>
      <c r="P5" s="198"/>
      <c r="Q5" s="195"/>
    </row>
    <row r="6" spans="1:17" ht="40" customHeight="1" thickBot="1" x14ac:dyDescent="0.25">
      <c r="A6" s="180"/>
      <c r="B6" s="308" t="s">
        <v>134</v>
      </c>
      <c r="C6" s="308"/>
      <c r="D6" s="308"/>
      <c r="E6" s="308"/>
      <c r="F6" s="308"/>
      <c r="G6" s="308"/>
      <c r="H6" s="308"/>
      <c r="I6" s="308"/>
      <c r="J6" s="308"/>
      <c r="K6" s="308"/>
      <c r="L6" s="308"/>
      <c r="M6" s="308"/>
      <c r="N6" s="308"/>
      <c r="O6" s="308"/>
      <c r="P6" s="308"/>
      <c r="Q6" s="195"/>
    </row>
    <row r="7" spans="1:17" ht="39" customHeight="1" thickBot="1" x14ac:dyDescent="0.25">
      <c r="A7" s="180"/>
      <c r="B7" s="309" t="s">
        <v>27</v>
      </c>
      <c r="C7" s="310"/>
      <c r="D7" s="310"/>
      <c r="E7" s="310"/>
      <c r="F7" s="310"/>
      <c r="G7" s="310"/>
      <c r="H7" s="310"/>
      <c r="I7" s="310"/>
      <c r="J7" s="310"/>
      <c r="K7" s="310"/>
      <c r="L7" s="310"/>
      <c r="M7" s="310"/>
      <c r="N7" s="310"/>
      <c r="O7" s="310"/>
      <c r="P7" s="311"/>
      <c r="Q7" s="195"/>
    </row>
    <row r="8" spans="1:17" ht="10" customHeight="1" thickBot="1" x14ac:dyDescent="0.25">
      <c r="A8" s="303"/>
      <c r="B8" s="304"/>
      <c r="C8" s="304"/>
      <c r="D8" s="304"/>
      <c r="E8" s="304"/>
      <c r="F8" s="304"/>
      <c r="G8" s="304"/>
      <c r="H8" s="304"/>
      <c r="I8" s="304"/>
      <c r="J8" s="304"/>
      <c r="K8" s="304"/>
      <c r="L8" s="304"/>
      <c r="M8" s="304"/>
      <c r="N8" s="304"/>
      <c r="O8" s="304"/>
      <c r="P8" s="304"/>
      <c r="Q8" s="305"/>
    </row>
    <row r="9" spans="1:17" ht="5" customHeight="1" thickBot="1" x14ac:dyDescent="0.25">
      <c r="A9" s="10"/>
      <c r="B9" s="11"/>
      <c r="C9" s="11"/>
      <c r="D9" s="11"/>
      <c r="E9" s="11"/>
      <c r="F9" s="11"/>
      <c r="G9" s="11"/>
      <c r="H9" s="11"/>
      <c r="I9" s="11"/>
      <c r="J9" s="11"/>
      <c r="K9" s="11"/>
      <c r="L9" s="11"/>
      <c r="M9" s="11"/>
      <c r="N9" s="11"/>
      <c r="O9" s="11"/>
      <c r="P9" s="11"/>
      <c r="Q9" s="2"/>
    </row>
    <row r="10" spans="1:17" ht="10" customHeight="1" thickBot="1" x14ac:dyDescent="0.25">
      <c r="A10" s="328"/>
      <c r="B10" s="329"/>
      <c r="C10" s="329"/>
      <c r="D10" s="329"/>
      <c r="E10" s="329"/>
      <c r="F10" s="329"/>
      <c r="G10" s="329"/>
      <c r="H10" s="329"/>
      <c r="I10" s="329"/>
      <c r="J10" s="329"/>
      <c r="K10" s="329"/>
      <c r="L10" s="329"/>
      <c r="M10" s="329"/>
      <c r="N10" s="329"/>
      <c r="O10" s="329"/>
      <c r="P10" s="329"/>
      <c r="Q10" s="330"/>
    </row>
    <row r="11" spans="1:17" ht="20" customHeight="1" thickBot="1" x14ac:dyDescent="0.25">
      <c r="A11" s="332"/>
      <c r="B11" s="354" t="s">
        <v>77</v>
      </c>
      <c r="C11" s="355"/>
      <c r="D11" s="355"/>
      <c r="E11" s="355"/>
      <c r="F11" s="355"/>
      <c r="G11" s="355"/>
      <c r="H11" s="355"/>
      <c r="I11" s="355"/>
      <c r="J11" s="355"/>
      <c r="K11" s="355"/>
      <c r="L11" s="355"/>
      <c r="M11" s="355"/>
      <c r="N11" s="355"/>
      <c r="O11" s="355"/>
      <c r="P11" s="356"/>
      <c r="Q11" s="195"/>
    </row>
    <row r="12" spans="1:17" ht="10" customHeight="1" thickBot="1" x14ac:dyDescent="0.25">
      <c r="A12" s="332"/>
      <c r="B12" s="353"/>
      <c r="C12" s="353"/>
      <c r="D12" s="353"/>
      <c r="E12" s="353"/>
      <c r="F12" s="353"/>
      <c r="G12" s="353"/>
      <c r="H12" s="353"/>
      <c r="I12" s="353"/>
      <c r="J12" s="353"/>
      <c r="K12" s="353"/>
      <c r="L12" s="353"/>
      <c r="M12" s="353"/>
      <c r="N12" s="353"/>
      <c r="O12" s="353"/>
      <c r="P12" s="353"/>
      <c r="Q12" s="195"/>
    </row>
    <row r="13" spans="1:17" ht="20" customHeight="1" thickBot="1" x14ac:dyDescent="0.25">
      <c r="A13" s="332"/>
      <c r="B13" s="129" t="str">
        <f>GRUPOS!C12</f>
        <v>ANA LUIZA/KAIO</v>
      </c>
      <c r="C13" s="55" t="s">
        <v>20</v>
      </c>
      <c r="D13" s="9" t="s">
        <v>21</v>
      </c>
      <c r="E13" s="333"/>
      <c r="F13" s="93" t="str">
        <f>GRUPOS!C13</f>
        <v>JOSÉ/SARA</v>
      </c>
      <c r="G13" s="55" t="s">
        <v>20</v>
      </c>
      <c r="H13" s="9" t="s">
        <v>21</v>
      </c>
      <c r="I13" s="312"/>
      <c r="J13" s="93" t="str">
        <f>GRUPOS!C14</f>
        <v>MAYARA/DIVINO</v>
      </c>
      <c r="K13" s="55" t="s">
        <v>20</v>
      </c>
      <c r="L13" s="9" t="s">
        <v>21</v>
      </c>
      <c r="M13" s="333"/>
      <c r="N13" s="93" t="str">
        <f>GRUPOS!C15</f>
        <v>CYNTIA/SALVADOR</v>
      </c>
      <c r="O13" s="56" t="s">
        <v>20</v>
      </c>
      <c r="P13" s="98" t="s">
        <v>21</v>
      </c>
      <c r="Q13" s="195"/>
    </row>
    <row r="14" spans="1:17" ht="20" customHeight="1" x14ac:dyDescent="0.2">
      <c r="A14" s="332"/>
      <c r="B14" s="37">
        <v>1</v>
      </c>
      <c r="C14" s="4">
        <f>'TABELA FEM'!H11</f>
        <v>21</v>
      </c>
      <c r="D14" s="5">
        <f>'TABELA FEM'!J11</f>
        <v>19</v>
      </c>
      <c r="E14" s="333"/>
      <c r="F14" s="37">
        <v>1</v>
      </c>
      <c r="G14" s="4">
        <f>'TABELA FEM'!H15</f>
        <v>15</v>
      </c>
      <c r="H14" s="5">
        <f>'TABELA FEM'!J15</f>
        <v>21</v>
      </c>
      <c r="I14" s="312"/>
      <c r="J14" s="37">
        <v>1</v>
      </c>
      <c r="K14" s="4">
        <f>'TABELA FEM'!J15</f>
        <v>21</v>
      </c>
      <c r="L14" s="5">
        <f>'TABELA FEM'!H15</f>
        <v>15</v>
      </c>
      <c r="M14" s="333"/>
      <c r="N14" s="37">
        <v>1</v>
      </c>
      <c r="O14" s="4">
        <f>'TABELA FEM'!J11</f>
        <v>19</v>
      </c>
      <c r="P14" s="97">
        <f>'TABELA FEM'!H11</f>
        <v>21</v>
      </c>
      <c r="Q14" s="195"/>
    </row>
    <row r="15" spans="1:17" ht="20" customHeight="1" x14ac:dyDescent="0.2">
      <c r="A15" s="332"/>
      <c r="B15" s="3">
        <v>2</v>
      </c>
      <c r="C15" s="4">
        <f>'TABELA FEM'!H19</f>
        <v>21</v>
      </c>
      <c r="D15" s="5">
        <f>'TABELA FEM'!J19</f>
        <v>9</v>
      </c>
      <c r="E15" s="333"/>
      <c r="F15" s="3">
        <v>2</v>
      </c>
      <c r="G15" s="4">
        <f>'TABELA FEM'!H23</f>
        <v>17</v>
      </c>
      <c r="H15" s="5">
        <f>'TABELA FEM'!J23</f>
        <v>21</v>
      </c>
      <c r="I15" s="312"/>
      <c r="J15" s="3">
        <v>2</v>
      </c>
      <c r="K15" s="4">
        <f>'TABELA FEM'!J19</f>
        <v>9</v>
      </c>
      <c r="L15" s="5">
        <f>'TABELA FEM'!H19</f>
        <v>21</v>
      </c>
      <c r="M15" s="333"/>
      <c r="N15" s="3">
        <v>2</v>
      </c>
      <c r="O15" s="4">
        <f>'TABELA FEM'!J23</f>
        <v>21</v>
      </c>
      <c r="P15" s="97">
        <f>'TABELA FEM'!H23</f>
        <v>17</v>
      </c>
      <c r="Q15" s="195"/>
    </row>
    <row r="16" spans="1:17" ht="20" customHeight="1" x14ac:dyDescent="0.2">
      <c r="A16" s="332"/>
      <c r="B16" s="3">
        <v>3</v>
      </c>
      <c r="C16" s="4">
        <f>'TABELA FEM'!H28</f>
        <v>21</v>
      </c>
      <c r="D16" s="5">
        <f>'TABELA FEM'!J27</f>
        <v>11</v>
      </c>
      <c r="E16" s="333"/>
      <c r="F16" s="3">
        <v>3</v>
      </c>
      <c r="G16" s="4">
        <f>'TABELA FEM'!J27</f>
        <v>11</v>
      </c>
      <c r="H16" s="5">
        <f>'TABELA FEM'!H28</f>
        <v>21</v>
      </c>
      <c r="I16" s="312"/>
      <c r="J16" s="6">
        <v>3</v>
      </c>
      <c r="K16" s="4">
        <f>'TABELA FEM'!H31</f>
        <v>21</v>
      </c>
      <c r="L16" s="97">
        <f>'TABELA FEM'!J31</f>
        <v>18</v>
      </c>
      <c r="M16" s="333"/>
      <c r="N16" s="6">
        <v>3</v>
      </c>
      <c r="O16" s="4">
        <f>'TABELA FEM'!J31</f>
        <v>18</v>
      </c>
      <c r="P16" s="97">
        <f>'TABELA FEM'!H31</f>
        <v>21</v>
      </c>
      <c r="Q16" s="195"/>
    </row>
    <row r="17" spans="1:17" ht="20" customHeight="1" x14ac:dyDescent="0.2">
      <c r="A17" s="332"/>
      <c r="B17" s="3" t="s">
        <v>0</v>
      </c>
      <c r="C17" s="4">
        <f>SUM(C14:C16)</f>
        <v>63</v>
      </c>
      <c r="D17" s="5">
        <f>SUM(D14:D16)</f>
        <v>39</v>
      </c>
      <c r="E17" s="333"/>
      <c r="F17" s="3" t="s">
        <v>0</v>
      </c>
      <c r="G17" s="4">
        <f>SUM(G14:G16)</f>
        <v>43</v>
      </c>
      <c r="H17" s="5">
        <f>SUM(H14:H16)</f>
        <v>63</v>
      </c>
      <c r="I17" s="312"/>
      <c r="J17" s="6" t="s">
        <v>0</v>
      </c>
      <c r="K17" s="4">
        <f>SUM(K14:K16)</f>
        <v>51</v>
      </c>
      <c r="L17" s="97">
        <f>SUM(L14:L16)</f>
        <v>54</v>
      </c>
      <c r="M17" s="333"/>
      <c r="N17" s="6" t="s">
        <v>0</v>
      </c>
      <c r="O17" s="95">
        <f>SUM(O14:O16)</f>
        <v>58</v>
      </c>
      <c r="P17" s="97">
        <f>SUM(P14:P16)</f>
        <v>59</v>
      </c>
      <c r="Q17" s="195"/>
    </row>
    <row r="18" spans="1:17" ht="20" customHeight="1" thickBot="1" x14ac:dyDescent="0.25">
      <c r="A18" s="332"/>
      <c r="B18" s="7" t="s">
        <v>23</v>
      </c>
      <c r="C18" s="96"/>
      <c r="D18" s="12">
        <f>C17/D17</f>
        <v>1.6153846153846154</v>
      </c>
      <c r="E18" s="333"/>
      <c r="F18" s="7" t="s">
        <v>23</v>
      </c>
      <c r="G18" s="96"/>
      <c r="H18" s="12">
        <f>G17/H17</f>
        <v>0.68253968253968256</v>
      </c>
      <c r="I18" s="312"/>
      <c r="J18" s="7" t="s">
        <v>23</v>
      </c>
      <c r="K18" s="96"/>
      <c r="L18" s="12">
        <f>K17/L17</f>
        <v>0.94444444444444442</v>
      </c>
      <c r="M18" s="333"/>
      <c r="N18" s="7" t="s">
        <v>23</v>
      </c>
      <c r="O18" s="96"/>
      <c r="P18" s="12">
        <f>O17/P17</f>
        <v>0.98305084745762716</v>
      </c>
      <c r="Q18" s="195"/>
    </row>
    <row r="19" spans="1:17" ht="10" customHeight="1" thickBot="1" x14ac:dyDescent="0.25">
      <c r="A19" s="181"/>
      <c r="B19" s="239"/>
      <c r="C19" s="239"/>
      <c r="D19" s="239"/>
      <c r="E19" s="239"/>
      <c r="F19" s="239"/>
      <c r="G19" s="239"/>
      <c r="H19" s="239"/>
      <c r="I19" s="239"/>
      <c r="J19" s="239"/>
      <c r="K19" s="239"/>
      <c r="L19" s="239"/>
      <c r="M19" s="239"/>
      <c r="N19" s="239"/>
      <c r="O19" s="239"/>
      <c r="P19" s="239"/>
      <c r="Q19" s="240"/>
    </row>
    <row r="20" spans="1:17" ht="5" customHeight="1" thickBot="1" x14ac:dyDescent="0.25">
      <c r="A20" s="10"/>
      <c r="B20" s="11"/>
      <c r="C20" s="11"/>
      <c r="D20" s="11"/>
      <c r="E20" s="11"/>
      <c r="F20" s="11"/>
      <c r="G20" s="11"/>
      <c r="H20" s="11"/>
      <c r="I20" s="11"/>
      <c r="J20" s="11"/>
      <c r="K20" s="11"/>
      <c r="L20" s="11"/>
      <c r="M20" s="11"/>
      <c r="N20" s="11"/>
      <c r="O20" s="11"/>
      <c r="P20" s="11"/>
      <c r="Q20" s="2"/>
    </row>
    <row r="21" spans="1:17" ht="10" customHeight="1" thickBot="1" x14ac:dyDescent="0.25">
      <c r="A21" s="328"/>
      <c r="B21" s="329"/>
      <c r="C21" s="329"/>
      <c r="D21" s="329"/>
      <c r="E21" s="329"/>
      <c r="F21" s="329"/>
      <c r="G21" s="329"/>
      <c r="H21" s="329"/>
      <c r="I21" s="329"/>
      <c r="J21" s="329"/>
      <c r="K21" s="329"/>
      <c r="L21" s="329"/>
      <c r="M21" s="329"/>
      <c r="N21" s="329"/>
      <c r="O21" s="329"/>
      <c r="P21" s="329"/>
      <c r="Q21" s="330"/>
    </row>
    <row r="22" spans="1:17" ht="20" customHeight="1" thickBot="1" x14ac:dyDescent="0.25">
      <c r="A22" s="332"/>
      <c r="B22" s="347" t="s">
        <v>78</v>
      </c>
      <c r="C22" s="348"/>
      <c r="D22" s="348"/>
      <c r="E22" s="348"/>
      <c r="F22" s="348"/>
      <c r="G22" s="348"/>
      <c r="H22" s="348"/>
      <c r="I22" s="348"/>
      <c r="J22" s="348"/>
      <c r="K22" s="348"/>
      <c r="L22" s="348"/>
      <c r="M22" s="348"/>
      <c r="N22" s="348"/>
      <c r="O22" s="348"/>
      <c r="P22" s="349"/>
      <c r="Q22" s="195"/>
    </row>
    <row r="23" spans="1:17" ht="10" customHeight="1" thickBot="1" x14ac:dyDescent="0.25">
      <c r="A23" s="332"/>
      <c r="B23" s="353"/>
      <c r="C23" s="353"/>
      <c r="D23" s="353"/>
      <c r="E23" s="353"/>
      <c r="F23" s="353"/>
      <c r="G23" s="353"/>
      <c r="H23" s="353"/>
      <c r="I23" s="353"/>
      <c r="J23" s="353"/>
      <c r="K23" s="353"/>
      <c r="L23" s="353"/>
      <c r="M23" s="353"/>
      <c r="N23" s="353"/>
      <c r="O23" s="353"/>
      <c r="P23" s="353"/>
      <c r="Q23" s="195"/>
    </row>
    <row r="24" spans="1:17" ht="20" customHeight="1" thickBot="1" x14ac:dyDescent="0.25">
      <c r="A24" s="332"/>
      <c r="B24" s="93" t="str">
        <f>GRUPOS!G12</f>
        <v>ANA C./VITOR BICHARA</v>
      </c>
      <c r="C24" s="55" t="s">
        <v>20</v>
      </c>
      <c r="D24" s="9" t="s">
        <v>21</v>
      </c>
      <c r="E24" s="333"/>
      <c r="F24" s="93" t="str">
        <f>GRUPOS!G13</f>
        <v>THIAGO/DANILO</v>
      </c>
      <c r="G24" s="56" t="s">
        <v>20</v>
      </c>
      <c r="H24" s="98" t="s">
        <v>21</v>
      </c>
      <c r="I24" s="312"/>
      <c r="J24" s="93" t="str">
        <f>GRUPOS!G14</f>
        <v>LARISSA/JÚLIA</v>
      </c>
      <c r="K24" s="55" t="s">
        <v>20</v>
      </c>
      <c r="L24" s="9" t="s">
        <v>21</v>
      </c>
      <c r="M24" s="333"/>
      <c r="N24" s="93" t="str">
        <f>GRUPOS!G15</f>
        <v>ARTEMIS/BETO</v>
      </c>
      <c r="O24" s="56" t="s">
        <v>20</v>
      </c>
      <c r="P24" s="98" t="s">
        <v>21</v>
      </c>
      <c r="Q24" s="195"/>
    </row>
    <row r="25" spans="1:17" ht="20" customHeight="1" x14ac:dyDescent="0.2">
      <c r="A25" s="332"/>
      <c r="B25" s="37">
        <v>1</v>
      </c>
      <c r="C25" s="4">
        <f>'TABELA FEM'!H12</f>
        <v>21</v>
      </c>
      <c r="D25" s="5">
        <f>'TABELA FEM'!J12</f>
        <v>18</v>
      </c>
      <c r="E25" s="333"/>
      <c r="F25" s="37">
        <v>1</v>
      </c>
      <c r="G25" s="4">
        <f>'TABELA FEM'!H16</f>
        <v>21</v>
      </c>
      <c r="H25" s="97">
        <f>'TABELA FEM'!J16</f>
        <v>18</v>
      </c>
      <c r="I25" s="312"/>
      <c r="J25" s="37">
        <v>1</v>
      </c>
      <c r="K25" s="4">
        <f>'TABELA FEM'!J16</f>
        <v>18</v>
      </c>
      <c r="L25" s="5">
        <f>'TABELA FEM'!H16</f>
        <v>21</v>
      </c>
      <c r="M25" s="333"/>
      <c r="N25" s="37">
        <v>1</v>
      </c>
      <c r="O25" s="4">
        <f>'TABELA FEM'!J12</f>
        <v>18</v>
      </c>
      <c r="P25" s="5">
        <f>'TABELA FEM'!H12</f>
        <v>21</v>
      </c>
      <c r="Q25" s="195"/>
    </row>
    <row r="26" spans="1:17" ht="20" customHeight="1" x14ac:dyDescent="0.2">
      <c r="A26" s="332"/>
      <c r="B26" s="3">
        <v>2</v>
      </c>
      <c r="C26" s="4">
        <f>'TABELA FEM'!H20</f>
        <v>10</v>
      </c>
      <c r="D26" s="5">
        <f>'TABELA FEM'!J20</f>
        <v>21</v>
      </c>
      <c r="E26" s="333"/>
      <c r="F26" s="3">
        <v>2</v>
      </c>
      <c r="G26" s="95">
        <f>'TABELA FEM'!H24</f>
        <v>14</v>
      </c>
      <c r="H26" s="97">
        <f>'TABELA FEM'!J24</f>
        <v>21</v>
      </c>
      <c r="I26" s="312"/>
      <c r="J26" s="3">
        <v>2</v>
      </c>
      <c r="K26" s="4">
        <f>'TABELA FEM'!J20</f>
        <v>21</v>
      </c>
      <c r="L26" s="5">
        <f>'TABELA FEM'!H20</f>
        <v>10</v>
      </c>
      <c r="M26" s="333"/>
      <c r="N26" s="3">
        <v>2</v>
      </c>
      <c r="O26" s="4">
        <f>'TABELA FEM'!J24</f>
        <v>21</v>
      </c>
      <c r="P26" s="5">
        <f>'TABELA FEM'!H24</f>
        <v>14</v>
      </c>
      <c r="Q26" s="195"/>
    </row>
    <row r="27" spans="1:17" ht="20" customHeight="1" x14ac:dyDescent="0.2">
      <c r="A27" s="332"/>
      <c r="B27" s="3">
        <v>3</v>
      </c>
      <c r="C27" s="4">
        <f>'TABELA FEM'!H28</f>
        <v>21</v>
      </c>
      <c r="D27" s="5">
        <f>'TABELA FEM'!J28</f>
        <v>18</v>
      </c>
      <c r="E27" s="333"/>
      <c r="F27" s="6">
        <v>3</v>
      </c>
      <c r="G27" s="95">
        <f>'TABELA FEM'!J28</f>
        <v>18</v>
      </c>
      <c r="H27" s="97">
        <f>'TABELA FEM'!H28</f>
        <v>21</v>
      </c>
      <c r="I27" s="312"/>
      <c r="J27" s="6">
        <v>3</v>
      </c>
      <c r="K27" s="4">
        <f>'TABELA FEM'!H32</f>
        <v>17</v>
      </c>
      <c r="L27" s="97">
        <f>'TABELA FEM'!J32</f>
        <v>21</v>
      </c>
      <c r="M27" s="333"/>
      <c r="N27" s="3">
        <v>3</v>
      </c>
      <c r="O27" s="4">
        <f>'TABELA FEM'!J32</f>
        <v>21</v>
      </c>
      <c r="P27" s="5">
        <f>'TABELA FEM'!H32</f>
        <v>17</v>
      </c>
      <c r="Q27" s="195"/>
    </row>
    <row r="28" spans="1:17" ht="20" customHeight="1" x14ac:dyDescent="0.2">
      <c r="A28" s="332"/>
      <c r="B28" s="3" t="s">
        <v>0</v>
      </c>
      <c r="C28" s="4">
        <f>SUM(C25:C27)</f>
        <v>52</v>
      </c>
      <c r="D28" s="5">
        <f>SUM(D25:D27)</f>
        <v>57</v>
      </c>
      <c r="E28" s="333"/>
      <c r="F28" s="6" t="s">
        <v>0</v>
      </c>
      <c r="G28" s="95">
        <f>SUM(G25:G27)</f>
        <v>53</v>
      </c>
      <c r="H28" s="97">
        <f>SUM(H25:H27)</f>
        <v>60</v>
      </c>
      <c r="I28" s="312"/>
      <c r="J28" s="6" t="s">
        <v>0</v>
      </c>
      <c r="K28" s="95">
        <f>SUM(K25:K27)</f>
        <v>56</v>
      </c>
      <c r="L28" s="97">
        <f>SUM(L25:L27)</f>
        <v>52</v>
      </c>
      <c r="M28" s="333"/>
      <c r="N28" s="3" t="s">
        <v>0</v>
      </c>
      <c r="O28" s="4">
        <f>SUM(O25:O27)</f>
        <v>60</v>
      </c>
      <c r="P28" s="5">
        <f>SUM(P25:P27)</f>
        <v>52</v>
      </c>
      <c r="Q28" s="195"/>
    </row>
    <row r="29" spans="1:17" ht="20" customHeight="1" thickBot="1" x14ac:dyDescent="0.25">
      <c r="A29" s="332"/>
      <c r="B29" s="7" t="s">
        <v>23</v>
      </c>
      <c r="C29" s="96"/>
      <c r="D29" s="8">
        <f>C28/D28</f>
        <v>0.91228070175438591</v>
      </c>
      <c r="E29" s="333"/>
      <c r="F29" s="7" t="s">
        <v>23</v>
      </c>
      <c r="G29" s="96"/>
      <c r="H29" s="8">
        <f>G28/H28</f>
        <v>0.8833333333333333</v>
      </c>
      <c r="I29" s="312"/>
      <c r="J29" s="7" t="s">
        <v>23</v>
      </c>
      <c r="K29" s="96"/>
      <c r="L29" s="8">
        <f>K28/L28</f>
        <v>1.0769230769230769</v>
      </c>
      <c r="M29" s="333"/>
      <c r="N29" s="7" t="s">
        <v>23</v>
      </c>
      <c r="O29" s="96"/>
      <c r="P29" s="8">
        <f>O28/P28</f>
        <v>1.1538461538461537</v>
      </c>
      <c r="Q29" s="195"/>
    </row>
    <row r="30" spans="1:17" ht="10" customHeight="1" thickBot="1" x14ac:dyDescent="0.25">
      <c r="A30" s="181"/>
      <c r="B30" s="239"/>
      <c r="C30" s="239"/>
      <c r="D30" s="239"/>
      <c r="E30" s="239"/>
      <c r="F30" s="239"/>
      <c r="G30" s="239"/>
      <c r="H30" s="239"/>
      <c r="I30" s="239"/>
      <c r="J30" s="239"/>
      <c r="K30" s="239"/>
      <c r="L30" s="239"/>
      <c r="M30" s="239"/>
      <c r="N30" s="239"/>
      <c r="O30" s="239"/>
      <c r="P30" s="239"/>
      <c r="Q30" s="240"/>
    </row>
    <row r="31" spans="1:17" ht="5" customHeight="1" thickBot="1" x14ac:dyDescent="0.25">
      <c r="A31" s="10"/>
      <c r="B31" s="11"/>
      <c r="C31" s="11"/>
      <c r="D31" s="11"/>
      <c r="E31" s="11"/>
      <c r="F31" s="11"/>
      <c r="G31" s="11"/>
      <c r="H31" s="11"/>
      <c r="I31" s="11"/>
      <c r="J31" s="11"/>
      <c r="K31" s="11"/>
      <c r="L31" s="11"/>
      <c r="M31" s="11"/>
      <c r="N31" s="11"/>
      <c r="O31" s="11"/>
      <c r="P31" s="11"/>
      <c r="Q31" s="2"/>
    </row>
    <row r="32" spans="1:17" ht="10" customHeight="1" thickBot="1" x14ac:dyDescent="0.25">
      <c r="A32" s="328"/>
      <c r="B32" s="329"/>
      <c r="C32" s="329"/>
      <c r="D32" s="329"/>
      <c r="E32" s="329"/>
      <c r="F32" s="329"/>
      <c r="G32" s="329"/>
      <c r="H32" s="329"/>
      <c r="I32" s="329"/>
      <c r="J32" s="329"/>
      <c r="K32" s="329"/>
      <c r="L32" s="329"/>
      <c r="M32" s="329"/>
      <c r="N32" s="329"/>
      <c r="O32" s="329"/>
      <c r="P32" s="329"/>
      <c r="Q32" s="330"/>
    </row>
    <row r="33" spans="1:17" ht="20" customHeight="1" thickBot="1" x14ac:dyDescent="0.25">
      <c r="A33" s="332"/>
      <c r="B33" s="344" t="s">
        <v>79</v>
      </c>
      <c r="C33" s="345"/>
      <c r="D33" s="345"/>
      <c r="E33" s="345"/>
      <c r="F33" s="345"/>
      <c r="G33" s="345"/>
      <c r="H33" s="345"/>
      <c r="I33" s="345"/>
      <c r="J33" s="345"/>
      <c r="K33" s="345"/>
      <c r="L33" s="345"/>
      <c r="M33" s="345"/>
      <c r="N33" s="345"/>
      <c r="O33" s="345"/>
      <c r="P33" s="346"/>
      <c r="Q33" s="195"/>
    </row>
    <row r="34" spans="1:17" ht="10" customHeight="1" thickBot="1" x14ac:dyDescent="0.25">
      <c r="A34" s="332"/>
      <c r="B34" s="331"/>
      <c r="C34" s="331"/>
      <c r="D34" s="331"/>
      <c r="E34" s="331"/>
      <c r="F34" s="331"/>
      <c r="G34" s="331"/>
      <c r="H34" s="331"/>
      <c r="I34" s="331"/>
      <c r="J34" s="331"/>
      <c r="K34" s="331"/>
      <c r="L34" s="331"/>
      <c r="M34" s="331"/>
      <c r="N34" s="331"/>
      <c r="O34" s="331"/>
      <c r="P34" s="331"/>
      <c r="Q34" s="195"/>
    </row>
    <row r="35" spans="1:17" ht="20" customHeight="1" thickBot="1" x14ac:dyDescent="0.25">
      <c r="A35" s="332"/>
      <c r="B35" s="93" t="str">
        <f>GRUPOS!K12</f>
        <v>CRYS/LEO</v>
      </c>
      <c r="C35" s="55" t="s">
        <v>20</v>
      </c>
      <c r="D35" s="9" t="s">
        <v>21</v>
      </c>
      <c r="E35" s="333"/>
      <c r="F35" s="93" t="str">
        <f>GRUPOS!K13</f>
        <v>BÁRBARA/JOÃO</v>
      </c>
      <c r="G35" s="56" t="s">
        <v>20</v>
      </c>
      <c r="H35" s="98" t="s">
        <v>21</v>
      </c>
      <c r="I35" s="312"/>
      <c r="J35" s="93" t="str">
        <f>GRUPOS!K14</f>
        <v>LUCAS/GABRIEL L.</v>
      </c>
      <c r="K35" s="55" t="s">
        <v>20</v>
      </c>
      <c r="L35" s="9" t="s">
        <v>21</v>
      </c>
      <c r="M35" s="333"/>
      <c r="N35" s="93" t="str">
        <f>GRUPOS!K15</f>
        <v>VINÍCIUS/PATRÍCIA</v>
      </c>
      <c r="O35" s="55" t="s">
        <v>20</v>
      </c>
      <c r="P35" s="9" t="s">
        <v>21</v>
      </c>
      <c r="Q35" s="195"/>
    </row>
    <row r="36" spans="1:17" ht="20" customHeight="1" x14ac:dyDescent="0.2">
      <c r="A36" s="332"/>
      <c r="B36" s="37">
        <v>1</v>
      </c>
      <c r="C36" s="4">
        <f>'TABELA FEM'!H13</f>
        <v>12</v>
      </c>
      <c r="D36" s="5">
        <f>'TABELA FEM'!J13</f>
        <v>21</v>
      </c>
      <c r="E36" s="333"/>
      <c r="F36" s="37">
        <v>1</v>
      </c>
      <c r="G36" s="4">
        <f>'TABELA FEM'!H17</f>
        <v>25</v>
      </c>
      <c r="H36" s="97">
        <f>'TABELA FEM'!J17</f>
        <v>23</v>
      </c>
      <c r="I36" s="312"/>
      <c r="J36" s="37">
        <v>1</v>
      </c>
      <c r="K36" s="4">
        <f>'TABELA FEM'!J17</f>
        <v>23</v>
      </c>
      <c r="L36" s="5">
        <f>'TABELA FEM'!H16</f>
        <v>21</v>
      </c>
      <c r="M36" s="333"/>
      <c r="N36" s="37">
        <v>1</v>
      </c>
      <c r="O36" s="4">
        <f>'TABELA FEM'!J13</f>
        <v>21</v>
      </c>
      <c r="P36" s="5">
        <f>'TABELA FEM'!H13</f>
        <v>12</v>
      </c>
      <c r="Q36" s="195"/>
    </row>
    <row r="37" spans="1:17" ht="20" customHeight="1" x14ac:dyDescent="0.2">
      <c r="A37" s="332"/>
      <c r="B37" s="3">
        <v>2</v>
      </c>
      <c r="C37" s="4">
        <f>'TABELA FEM'!H21</f>
        <v>11</v>
      </c>
      <c r="D37" s="5">
        <f>'TABELA FEM'!J21</f>
        <v>21</v>
      </c>
      <c r="E37" s="333"/>
      <c r="F37" s="3">
        <v>2</v>
      </c>
      <c r="G37" s="4">
        <f>'TABELA FEM'!H25</f>
        <v>21</v>
      </c>
      <c r="H37" s="97">
        <f>'TABELA FEM'!J25</f>
        <v>12</v>
      </c>
      <c r="I37" s="312"/>
      <c r="J37" s="3">
        <v>2</v>
      </c>
      <c r="K37" s="4">
        <f>'TABELA FEM'!J21</f>
        <v>21</v>
      </c>
      <c r="L37" s="5">
        <f>'TABELA FEM'!H21</f>
        <v>11</v>
      </c>
      <c r="M37" s="333"/>
      <c r="N37" s="3">
        <v>2</v>
      </c>
      <c r="O37" s="4">
        <f>'TABELA FEM'!J25</f>
        <v>12</v>
      </c>
      <c r="P37" s="5">
        <f>'TABELA FEM'!H25</f>
        <v>21</v>
      </c>
      <c r="Q37" s="195"/>
    </row>
    <row r="38" spans="1:17" ht="20" customHeight="1" x14ac:dyDescent="0.2">
      <c r="A38" s="332"/>
      <c r="B38" s="3">
        <v>3</v>
      </c>
      <c r="C38" s="4">
        <f>'TABELA FEM'!H29</f>
        <v>17</v>
      </c>
      <c r="D38" s="5">
        <f>'TABELA FEM'!J29</f>
        <v>21</v>
      </c>
      <c r="E38" s="333"/>
      <c r="F38" s="6">
        <v>3</v>
      </c>
      <c r="G38" s="4">
        <f>'TABELA FEM'!J29</f>
        <v>21</v>
      </c>
      <c r="H38" s="97">
        <f>'TABELA FEM'!H29</f>
        <v>17</v>
      </c>
      <c r="I38" s="312"/>
      <c r="J38" s="6">
        <v>3</v>
      </c>
      <c r="K38" s="95">
        <f>'TABELA FEM'!H33</f>
        <v>14</v>
      </c>
      <c r="L38" s="97">
        <f>'TABELA FEM'!J33</f>
        <v>21</v>
      </c>
      <c r="M38" s="333"/>
      <c r="N38" s="3">
        <v>3</v>
      </c>
      <c r="O38" s="4">
        <f>'TABELA FEM'!J33</f>
        <v>21</v>
      </c>
      <c r="P38" s="5">
        <f>'TABELA FEM'!H33</f>
        <v>14</v>
      </c>
      <c r="Q38" s="195"/>
    </row>
    <row r="39" spans="1:17" ht="20" customHeight="1" x14ac:dyDescent="0.2">
      <c r="A39" s="332"/>
      <c r="B39" s="3" t="s">
        <v>0</v>
      </c>
      <c r="C39" s="4">
        <f>SUM(C36:C38)</f>
        <v>40</v>
      </c>
      <c r="D39" s="5">
        <f>SUM(D36:D38)</f>
        <v>63</v>
      </c>
      <c r="E39" s="333"/>
      <c r="F39" s="6" t="s">
        <v>0</v>
      </c>
      <c r="G39" s="4">
        <f>SUM(G36:G38)</f>
        <v>67</v>
      </c>
      <c r="H39" s="97">
        <f>SUM(H36:H38)</f>
        <v>52</v>
      </c>
      <c r="I39" s="312"/>
      <c r="J39" s="6" t="s">
        <v>0</v>
      </c>
      <c r="K39" s="95">
        <f>SUM(K36:K38)</f>
        <v>58</v>
      </c>
      <c r="L39" s="97">
        <f>SUM(L36:L38)</f>
        <v>53</v>
      </c>
      <c r="M39" s="333"/>
      <c r="N39" s="3" t="s">
        <v>0</v>
      </c>
      <c r="O39" s="4">
        <f>SUM(O36:O38)</f>
        <v>54</v>
      </c>
      <c r="P39" s="5">
        <f>SUM(P36:P38)</f>
        <v>47</v>
      </c>
      <c r="Q39" s="195"/>
    </row>
    <row r="40" spans="1:17" ht="20" customHeight="1" thickBot="1" x14ac:dyDescent="0.25">
      <c r="A40" s="332"/>
      <c r="B40" s="7" t="s">
        <v>23</v>
      </c>
      <c r="C40" s="96"/>
      <c r="D40" s="13">
        <f>C39/D39</f>
        <v>0.63492063492063489</v>
      </c>
      <c r="E40" s="333"/>
      <c r="F40" s="7" t="s">
        <v>23</v>
      </c>
      <c r="G40" s="96"/>
      <c r="H40" s="13">
        <f>G39/H39</f>
        <v>1.2884615384615385</v>
      </c>
      <c r="I40" s="312"/>
      <c r="J40" s="7" t="s">
        <v>23</v>
      </c>
      <c r="K40" s="96"/>
      <c r="L40" s="13">
        <f>K39/L39</f>
        <v>1.0943396226415094</v>
      </c>
      <c r="M40" s="333"/>
      <c r="N40" s="7" t="s">
        <v>23</v>
      </c>
      <c r="O40" s="96"/>
      <c r="P40" s="13">
        <f>O39/P39</f>
        <v>1.1489361702127661</v>
      </c>
      <c r="Q40" s="195"/>
    </row>
    <row r="41" spans="1:17" ht="10" customHeight="1" thickBot="1" x14ac:dyDescent="0.25">
      <c r="A41" s="181"/>
      <c r="B41" s="239"/>
      <c r="C41" s="239"/>
      <c r="D41" s="239"/>
      <c r="E41" s="239"/>
      <c r="F41" s="239"/>
      <c r="G41" s="239"/>
      <c r="H41" s="239"/>
      <c r="I41" s="239"/>
      <c r="J41" s="239"/>
      <c r="K41" s="239"/>
      <c r="L41" s="239"/>
      <c r="M41" s="239"/>
      <c r="N41" s="239"/>
      <c r="O41" s="239"/>
      <c r="P41" s="239"/>
      <c r="Q41" s="240"/>
    </row>
    <row r="42" spans="1:17" ht="5" customHeight="1" thickBot="1" x14ac:dyDescent="0.25">
      <c r="A42" s="10"/>
      <c r="B42" s="11"/>
      <c r="C42" s="11"/>
      <c r="D42" s="11"/>
      <c r="E42" s="11"/>
      <c r="F42" s="11"/>
      <c r="G42" s="11"/>
      <c r="H42" s="11"/>
      <c r="I42" s="11"/>
      <c r="J42" s="11"/>
      <c r="K42" s="11"/>
      <c r="L42" s="11"/>
      <c r="M42" s="11"/>
      <c r="N42" s="11"/>
      <c r="O42" s="11"/>
      <c r="P42" s="11"/>
      <c r="Q42" s="2"/>
    </row>
    <row r="43" spans="1:17" ht="10" customHeight="1" thickBot="1" x14ac:dyDescent="0.25">
      <c r="A43" s="328"/>
      <c r="B43" s="329"/>
      <c r="C43" s="329"/>
      <c r="D43" s="329"/>
      <c r="E43" s="329"/>
      <c r="F43" s="329"/>
      <c r="G43" s="329"/>
      <c r="H43" s="329"/>
      <c r="I43" s="329"/>
      <c r="J43" s="329"/>
      <c r="K43" s="329"/>
      <c r="L43" s="329"/>
      <c r="M43" s="329"/>
      <c r="N43" s="329"/>
      <c r="O43" s="329"/>
      <c r="P43" s="329"/>
      <c r="Q43" s="330"/>
    </row>
    <row r="44" spans="1:17" ht="20" customHeight="1" thickBot="1" x14ac:dyDescent="0.25">
      <c r="A44" s="332"/>
      <c r="B44" s="334" t="s">
        <v>80</v>
      </c>
      <c r="C44" s="335"/>
      <c r="D44" s="335"/>
      <c r="E44" s="335"/>
      <c r="F44" s="335"/>
      <c r="G44" s="335"/>
      <c r="H44" s="335"/>
      <c r="I44" s="335"/>
      <c r="J44" s="335"/>
      <c r="K44" s="335"/>
      <c r="L44" s="335"/>
      <c r="M44" s="335"/>
      <c r="N44" s="335"/>
      <c r="O44" s="335"/>
      <c r="P44" s="336"/>
      <c r="Q44" s="195"/>
    </row>
    <row r="45" spans="1:17" ht="10" customHeight="1" thickBot="1" x14ac:dyDescent="0.25">
      <c r="A45" s="332"/>
      <c r="B45" s="331"/>
      <c r="C45" s="331"/>
      <c r="D45" s="331"/>
      <c r="E45" s="331"/>
      <c r="F45" s="331"/>
      <c r="G45" s="331"/>
      <c r="H45" s="331"/>
      <c r="I45" s="331"/>
      <c r="J45" s="331"/>
      <c r="K45" s="331"/>
      <c r="L45" s="331"/>
      <c r="M45" s="331"/>
      <c r="N45" s="331"/>
      <c r="O45" s="331"/>
      <c r="P45" s="331"/>
      <c r="Q45" s="195"/>
    </row>
    <row r="46" spans="1:17" ht="20" customHeight="1" thickBot="1" x14ac:dyDescent="0.25">
      <c r="A46" s="332"/>
      <c r="B46" s="93" t="str">
        <f>GRUPOS!O12</f>
        <v>RAQUEL/ELIAS</v>
      </c>
      <c r="C46" s="55" t="s">
        <v>20</v>
      </c>
      <c r="D46" s="9" t="s">
        <v>21</v>
      </c>
      <c r="E46" s="333"/>
      <c r="F46" s="93" t="str">
        <f>GRUPOS!O13</f>
        <v>MARCOS/ANTÔNIO</v>
      </c>
      <c r="G46" s="56" t="s">
        <v>20</v>
      </c>
      <c r="H46" s="98" t="s">
        <v>21</v>
      </c>
      <c r="I46" s="312"/>
      <c r="J46" s="93" t="str">
        <f>GRUPOS!O14</f>
        <v>CLARINHA/ARTHUR</v>
      </c>
      <c r="K46" s="55" t="s">
        <v>20</v>
      </c>
      <c r="L46" s="9" t="s">
        <v>21</v>
      </c>
      <c r="M46" s="333"/>
      <c r="N46" s="93" t="str">
        <f>GRUPOS!O15</f>
        <v>PRISCILA/RAFA</v>
      </c>
      <c r="O46" s="56" t="s">
        <v>20</v>
      </c>
      <c r="P46" s="98" t="s">
        <v>21</v>
      </c>
      <c r="Q46" s="195"/>
    </row>
    <row r="47" spans="1:17" ht="20" customHeight="1" x14ac:dyDescent="0.2">
      <c r="A47" s="332"/>
      <c r="B47" s="37">
        <v>1</v>
      </c>
      <c r="C47" s="4">
        <f>'TABELA FEM'!H14</f>
        <v>14</v>
      </c>
      <c r="D47" s="5">
        <f>'TABELA FEM'!J14</f>
        <v>21</v>
      </c>
      <c r="E47" s="333"/>
      <c r="F47" s="37">
        <v>1</v>
      </c>
      <c r="G47" s="4">
        <f>'TABELA FEM'!H18</f>
        <v>21</v>
      </c>
      <c r="H47" s="97">
        <f>'TABELA FEM'!J18</f>
        <v>7</v>
      </c>
      <c r="I47" s="312"/>
      <c r="J47" s="37">
        <v>1</v>
      </c>
      <c r="K47" s="4">
        <f>'TABELA FEM'!J18</f>
        <v>7</v>
      </c>
      <c r="L47" s="5">
        <f>'TABELA FEM'!H18</f>
        <v>21</v>
      </c>
      <c r="M47" s="333"/>
      <c r="N47" s="37">
        <v>1</v>
      </c>
      <c r="O47" s="4">
        <f>'TABELA FEM'!J14</f>
        <v>21</v>
      </c>
      <c r="P47" s="97">
        <f>'TABELA FEM'!H14</f>
        <v>14</v>
      </c>
      <c r="Q47" s="195"/>
    </row>
    <row r="48" spans="1:17" ht="20" customHeight="1" x14ac:dyDescent="0.2">
      <c r="A48" s="332"/>
      <c r="B48" s="3">
        <v>2</v>
      </c>
      <c r="C48" s="4">
        <f>'TABELA FEM'!H22</f>
        <v>21</v>
      </c>
      <c r="D48" s="5">
        <f>'TABELA FEM'!J22</f>
        <v>18</v>
      </c>
      <c r="E48" s="333"/>
      <c r="F48" s="3">
        <v>2</v>
      </c>
      <c r="G48" s="4">
        <f>'TABELA FEM'!H26</f>
        <v>21</v>
      </c>
      <c r="H48" s="97">
        <f>'TABELA FEM'!J26</f>
        <v>11</v>
      </c>
      <c r="I48" s="312"/>
      <c r="J48" s="3">
        <v>2</v>
      </c>
      <c r="K48" s="4">
        <f>'TABELA FEM'!J22</f>
        <v>18</v>
      </c>
      <c r="L48" s="5">
        <f>'TABELA FEM'!H22</f>
        <v>21</v>
      </c>
      <c r="M48" s="333"/>
      <c r="N48" s="3">
        <v>2</v>
      </c>
      <c r="O48" s="4">
        <f>'TABELA FEM'!J26</f>
        <v>11</v>
      </c>
      <c r="P48" s="97">
        <f>'TABELA FEM'!H26</f>
        <v>21</v>
      </c>
      <c r="Q48" s="195"/>
    </row>
    <row r="49" spans="1:17" ht="20" customHeight="1" x14ac:dyDescent="0.2">
      <c r="A49" s="332"/>
      <c r="B49" s="3">
        <v>3</v>
      </c>
      <c r="C49" s="4">
        <f>'TABELA FEM'!H30</f>
        <v>14</v>
      </c>
      <c r="D49" s="5">
        <f>'TABELA FEM'!J30</f>
        <v>21</v>
      </c>
      <c r="E49" s="333"/>
      <c r="F49" s="6">
        <v>3</v>
      </c>
      <c r="G49" s="95">
        <f>'TABELA FEM'!J30</f>
        <v>21</v>
      </c>
      <c r="H49" s="97">
        <f>'TABELA FEM'!H30</f>
        <v>14</v>
      </c>
      <c r="I49" s="312"/>
      <c r="J49" s="3">
        <v>3</v>
      </c>
      <c r="K49" s="4">
        <f>'TABELA FEM'!H34</f>
        <v>21</v>
      </c>
      <c r="L49" s="5">
        <f>'TABELA FEM'!J34</f>
        <v>11</v>
      </c>
      <c r="M49" s="333"/>
      <c r="N49" s="6">
        <v>3</v>
      </c>
      <c r="O49" s="4">
        <f>'TABELA FEM'!J34</f>
        <v>11</v>
      </c>
      <c r="P49" s="97">
        <f>'TABELA FEM'!H34</f>
        <v>21</v>
      </c>
      <c r="Q49" s="195"/>
    </row>
    <row r="50" spans="1:17" ht="20" customHeight="1" x14ac:dyDescent="0.2">
      <c r="A50" s="332"/>
      <c r="B50" s="6" t="s">
        <v>0</v>
      </c>
      <c r="C50" s="95">
        <f>SUM(C47:C49)</f>
        <v>49</v>
      </c>
      <c r="D50" s="97">
        <f>SUM(D47:D49)</f>
        <v>60</v>
      </c>
      <c r="E50" s="333"/>
      <c r="F50" s="6" t="s">
        <v>0</v>
      </c>
      <c r="G50" s="95">
        <f>SUM(G47:G49)</f>
        <v>63</v>
      </c>
      <c r="H50" s="97">
        <f>SUM(H47:H49)</f>
        <v>32</v>
      </c>
      <c r="I50" s="312"/>
      <c r="J50" s="3" t="s">
        <v>0</v>
      </c>
      <c r="K50" s="4">
        <f>SUM(K47:K49)</f>
        <v>46</v>
      </c>
      <c r="L50" s="5">
        <f>SUM(L47:L49)</f>
        <v>53</v>
      </c>
      <c r="M50" s="333"/>
      <c r="N50" s="6" t="s">
        <v>0</v>
      </c>
      <c r="O50" s="95">
        <f>SUM(O47:O49)</f>
        <v>43</v>
      </c>
      <c r="P50" s="97">
        <f>SUM(P47:P49)</f>
        <v>56</v>
      </c>
      <c r="Q50" s="195"/>
    </row>
    <row r="51" spans="1:17" ht="20" customHeight="1" thickBot="1" x14ac:dyDescent="0.25">
      <c r="A51" s="332"/>
      <c r="B51" s="7" t="s">
        <v>23</v>
      </c>
      <c r="C51" s="96"/>
      <c r="D51" s="14">
        <f>C50/D50</f>
        <v>0.81666666666666665</v>
      </c>
      <c r="E51" s="333"/>
      <c r="F51" s="7" t="s">
        <v>23</v>
      </c>
      <c r="G51" s="96"/>
      <c r="H51" s="14">
        <f>G50/H50</f>
        <v>1.96875</v>
      </c>
      <c r="I51" s="312"/>
      <c r="J51" s="99" t="s">
        <v>23</v>
      </c>
      <c r="K51" s="117"/>
      <c r="L51" s="14">
        <f>K50/L50</f>
        <v>0.86792452830188682</v>
      </c>
      <c r="M51" s="333"/>
      <c r="N51" s="7" t="s">
        <v>23</v>
      </c>
      <c r="O51" s="96"/>
      <c r="P51" s="14">
        <f>O50/P50</f>
        <v>0.7678571428571429</v>
      </c>
      <c r="Q51" s="195"/>
    </row>
    <row r="52" spans="1:17" ht="10" customHeight="1" thickBot="1" x14ac:dyDescent="0.25">
      <c r="A52" s="181"/>
      <c r="B52" s="239"/>
      <c r="C52" s="239"/>
      <c r="D52" s="239"/>
      <c r="E52" s="239"/>
      <c r="F52" s="239"/>
      <c r="G52" s="239"/>
      <c r="H52" s="239"/>
      <c r="I52" s="239"/>
      <c r="J52" s="239"/>
      <c r="K52" s="239"/>
      <c r="L52" s="239"/>
      <c r="M52" s="239"/>
      <c r="N52" s="239"/>
      <c r="O52" s="239"/>
      <c r="P52" s="239"/>
      <c r="Q52" s="240"/>
    </row>
    <row r="53" spans="1:17" ht="5" customHeight="1" thickBot="1" x14ac:dyDescent="0.25">
      <c r="A53" s="10"/>
      <c r="B53" s="11"/>
      <c r="C53" s="11"/>
      <c r="D53" s="11"/>
      <c r="E53" s="11"/>
      <c r="F53" s="11"/>
      <c r="G53" s="11"/>
      <c r="H53" s="11"/>
      <c r="I53" s="11"/>
      <c r="J53" s="11"/>
      <c r="K53" s="11"/>
      <c r="L53" s="11"/>
      <c r="M53" s="11"/>
      <c r="N53" s="11"/>
      <c r="O53" s="11"/>
      <c r="P53" s="11"/>
      <c r="Q53" s="2"/>
    </row>
    <row r="54" spans="1:17" ht="10" customHeight="1" thickBot="1" x14ac:dyDescent="0.25">
      <c r="A54" s="328"/>
      <c r="B54" s="329"/>
      <c r="C54" s="329"/>
      <c r="D54" s="329"/>
      <c r="E54" s="329"/>
      <c r="F54" s="329"/>
      <c r="G54" s="329"/>
      <c r="H54" s="329"/>
      <c r="I54" s="329"/>
      <c r="J54" s="329"/>
      <c r="K54" s="329"/>
      <c r="L54" s="329"/>
      <c r="M54" s="329"/>
      <c r="N54" s="329"/>
      <c r="O54" s="329"/>
      <c r="P54" s="329"/>
      <c r="Q54" s="330"/>
    </row>
    <row r="55" spans="1:17" ht="30" customHeight="1" thickBot="1" x14ac:dyDescent="0.25">
      <c r="A55" s="180"/>
      <c r="B55" s="318" t="s">
        <v>38</v>
      </c>
      <c r="C55" s="319"/>
      <c r="D55" s="319"/>
      <c r="E55" s="319"/>
      <c r="F55" s="319"/>
      <c r="G55" s="319"/>
      <c r="H55" s="319"/>
      <c r="I55" s="319"/>
      <c r="J55" s="319"/>
      <c r="K55" s="319"/>
      <c r="L55" s="319"/>
      <c r="M55" s="319"/>
      <c r="N55" s="319"/>
      <c r="O55" s="319"/>
      <c r="P55" s="320"/>
      <c r="Q55" s="312"/>
    </row>
    <row r="56" spans="1:17" ht="30" customHeight="1" thickBot="1" x14ac:dyDescent="0.25">
      <c r="A56" s="180"/>
      <c r="B56" s="41" t="s">
        <v>39</v>
      </c>
      <c r="C56" s="315" t="s">
        <v>31</v>
      </c>
      <c r="D56" s="316"/>
      <c r="E56" s="316"/>
      <c r="F56" s="316"/>
      <c r="G56" s="316"/>
      <c r="H56" s="316"/>
      <c r="I56" s="316"/>
      <c r="J56" s="317"/>
      <c r="K56" s="315" t="s">
        <v>44</v>
      </c>
      <c r="L56" s="317"/>
      <c r="M56" s="322" t="s">
        <v>76</v>
      </c>
      <c r="N56" s="323"/>
      <c r="O56" s="339" t="s">
        <v>27</v>
      </c>
      <c r="P56" s="340"/>
      <c r="Q56" s="312"/>
    </row>
    <row r="57" spans="1:17" ht="25" customHeight="1" x14ac:dyDescent="0.2">
      <c r="A57" s="180"/>
      <c r="B57" s="31" t="s">
        <v>1</v>
      </c>
      <c r="C57" s="341" t="s">
        <v>138</v>
      </c>
      <c r="D57" s="342"/>
      <c r="E57" s="342"/>
      <c r="F57" s="342"/>
      <c r="G57" s="342"/>
      <c r="H57" s="342"/>
      <c r="I57" s="342"/>
      <c r="J57" s="343"/>
      <c r="K57" s="324"/>
      <c r="L57" s="324"/>
      <c r="M57" s="324"/>
      <c r="N57" s="324"/>
      <c r="O57" s="324"/>
      <c r="P57" s="338"/>
      <c r="Q57" s="195"/>
    </row>
    <row r="58" spans="1:17" ht="25" customHeight="1" x14ac:dyDescent="0.2">
      <c r="A58" s="180"/>
      <c r="B58" s="6" t="s">
        <v>3</v>
      </c>
      <c r="C58" s="325" t="s">
        <v>139</v>
      </c>
      <c r="D58" s="326"/>
      <c r="E58" s="326"/>
      <c r="F58" s="326"/>
      <c r="G58" s="326"/>
      <c r="H58" s="326"/>
      <c r="I58" s="326"/>
      <c r="J58" s="327"/>
      <c r="K58" s="313"/>
      <c r="L58" s="313"/>
      <c r="M58" s="313"/>
      <c r="N58" s="313"/>
      <c r="O58" s="313"/>
      <c r="P58" s="321"/>
      <c r="Q58" s="195"/>
    </row>
    <row r="59" spans="1:17" ht="25" customHeight="1" x14ac:dyDescent="0.2">
      <c r="A59" s="180"/>
      <c r="B59" s="6" t="s">
        <v>4</v>
      </c>
      <c r="C59" s="325" t="s">
        <v>140</v>
      </c>
      <c r="D59" s="326"/>
      <c r="E59" s="326"/>
      <c r="F59" s="326"/>
      <c r="G59" s="326"/>
      <c r="H59" s="326"/>
      <c r="I59" s="326"/>
      <c r="J59" s="327"/>
      <c r="K59" s="313"/>
      <c r="L59" s="313"/>
      <c r="M59" s="313"/>
      <c r="N59" s="313"/>
      <c r="O59" s="313"/>
      <c r="P59" s="321"/>
      <c r="Q59" s="195"/>
    </row>
    <row r="60" spans="1:17" ht="25" customHeight="1" x14ac:dyDescent="0.2">
      <c r="A60" s="180"/>
      <c r="B60" s="6" t="s">
        <v>2</v>
      </c>
      <c r="C60" s="325" t="s">
        <v>141</v>
      </c>
      <c r="D60" s="326"/>
      <c r="E60" s="326"/>
      <c r="F60" s="326"/>
      <c r="G60" s="326"/>
      <c r="H60" s="326"/>
      <c r="I60" s="326"/>
      <c r="J60" s="327"/>
      <c r="K60" s="313"/>
      <c r="L60" s="313"/>
      <c r="M60" s="313"/>
      <c r="N60" s="313"/>
      <c r="O60" s="313"/>
      <c r="P60" s="321"/>
      <c r="Q60" s="195"/>
    </row>
    <row r="61" spans="1:17" ht="25" customHeight="1" x14ac:dyDescent="0.2">
      <c r="A61" s="180"/>
      <c r="B61" s="6" t="s">
        <v>5</v>
      </c>
      <c r="C61" s="325" t="s">
        <v>142</v>
      </c>
      <c r="D61" s="326"/>
      <c r="E61" s="326"/>
      <c r="F61" s="326"/>
      <c r="G61" s="326"/>
      <c r="H61" s="326"/>
      <c r="I61" s="326"/>
      <c r="J61" s="327"/>
      <c r="K61" s="313"/>
      <c r="L61" s="313"/>
      <c r="M61" s="313"/>
      <c r="N61" s="313"/>
      <c r="O61" s="313"/>
      <c r="P61" s="321"/>
      <c r="Q61" s="195"/>
    </row>
    <row r="62" spans="1:17" ht="25" customHeight="1" x14ac:dyDescent="0.2">
      <c r="A62" s="180"/>
      <c r="B62" s="6" t="s">
        <v>6</v>
      </c>
      <c r="C62" s="325" t="s">
        <v>143</v>
      </c>
      <c r="D62" s="326"/>
      <c r="E62" s="326"/>
      <c r="F62" s="326"/>
      <c r="G62" s="326"/>
      <c r="H62" s="326"/>
      <c r="I62" s="326"/>
      <c r="J62" s="327"/>
      <c r="K62" s="313"/>
      <c r="L62" s="313"/>
      <c r="M62" s="313"/>
      <c r="N62" s="313"/>
      <c r="O62" s="313"/>
      <c r="P62" s="321"/>
      <c r="Q62" s="195"/>
    </row>
    <row r="63" spans="1:17" ht="25" customHeight="1" x14ac:dyDescent="0.2">
      <c r="A63" s="180"/>
      <c r="B63" s="6" t="s">
        <v>7</v>
      </c>
      <c r="C63" s="325" t="s">
        <v>144</v>
      </c>
      <c r="D63" s="326"/>
      <c r="E63" s="326"/>
      <c r="F63" s="326"/>
      <c r="G63" s="326"/>
      <c r="H63" s="326"/>
      <c r="I63" s="326"/>
      <c r="J63" s="327"/>
      <c r="K63" s="313"/>
      <c r="L63" s="313"/>
      <c r="M63" s="313"/>
      <c r="N63" s="313"/>
      <c r="O63" s="313"/>
      <c r="P63" s="321"/>
      <c r="Q63" s="195"/>
    </row>
    <row r="64" spans="1:17" ht="25" customHeight="1" thickBot="1" x14ac:dyDescent="0.25">
      <c r="A64" s="180"/>
      <c r="B64" s="7" t="s">
        <v>8</v>
      </c>
      <c r="C64" s="350" t="s">
        <v>145</v>
      </c>
      <c r="D64" s="351"/>
      <c r="E64" s="351"/>
      <c r="F64" s="351"/>
      <c r="G64" s="351"/>
      <c r="H64" s="351"/>
      <c r="I64" s="351"/>
      <c r="J64" s="352"/>
      <c r="K64" s="314"/>
      <c r="L64" s="314"/>
      <c r="M64" s="314"/>
      <c r="N64" s="314"/>
      <c r="O64" s="314"/>
      <c r="P64" s="337"/>
      <c r="Q64" s="195"/>
    </row>
    <row r="65" spans="1:17" ht="10" customHeight="1" thickBot="1" x14ac:dyDescent="0.25">
      <c r="A65" s="181"/>
      <c r="B65" s="239"/>
      <c r="C65" s="239"/>
      <c r="D65" s="239"/>
      <c r="E65" s="239"/>
      <c r="F65" s="239"/>
      <c r="G65" s="239"/>
      <c r="H65" s="239"/>
      <c r="I65" s="239"/>
      <c r="J65" s="239"/>
      <c r="K65" s="239"/>
      <c r="L65" s="239"/>
      <c r="M65" s="239"/>
      <c r="N65" s="239"/>
      <c r="O65" s="239"/>
      <c r="P65" s="239"/>
      <c r="Q65" s="240"/>
    </row>
    <row r="66" spans="1:17" ht="20" customHeight="1" thickBot="1" x14ac:dyDescent="0.25"/>
    <row r="67" spans="1:17" ht="45" customHeight="1" thickBot="1" x14ac:dyDescent="0.25">
      <c r="B67" s="143" t="s">
        <v>136</v>
      </c>
      <c r="C67" s="300" t="s">
        <v>170</v>
      </c>
      <c r="D67" s="301"/>
      <c r="E67" s="301"/>
      <c r="F67" s="301"/>
      <c r="G67" s="301"/>
      <c r="H67" s="301"/>
      <c r="I67" s="301"/>
      <c r="J67" s="301"/>
      <c r="K67" s="301"/>
      <c r="L67" s="302"/>
    </row>
    <row r="68" spans="1:17" ht="25" customHeight="1" x14ac:dyDescent="0.2"/>
    <row r="69" spans="1:17" ht="25" customHeight="1" x14ac:dyDescent="0.2"/>
    <row r="70" spans="1:17" ht="25" customHeight="1" x14ac:dyDescent="0.2"/>
  </sheetData>
  <mergeCells count="88">
    <mergeCell ref="C63:J63"/>
    <mergeCell ref="C64:J64"/>
    <mergeCell ref="B3:P3"/>
    <mergeCell ref="A10:Q10"/>
    <mergeCell ref="A11:A18"/>
    <mergeCell ref="A19:Q19"/>
    <mergeCell ref="Q11:Q18"/>
    <mergeCell ref="B12:P12"/>
    <mergeCell ref="B11:P11"/>
    <mergeCell ref="Q33:Q40"/>
    <mergeCell ref="Q22:Q29"/>
    <mergeCell ref="A32:Q32"/>
    <mergeCell ref="B34:P34"/>
    <mergeCell ref="A41:Q41"/>
    <mergeCell ref="A33:A40"/>
    <mergeCell ref="B23:P23"/>
    <mergeCell ref="E13:E18"/>
    <mergeCell ref="I13:I18"/>
    <mergeCell ref="M13:M18"/>
    <mergeCell ref="A21:Q21"/>
    <mergeCell ref="A54:Q54"/>
    <mergeCell ref="A22:A29"/>
    <mergeCell ref="E24:E29"/>
    <mergeCell ref="I24:I29"/>
    <mergeCell ref="M24:M29"/>
    <mergeCell ref="E35:E40"/>
    <mergeCell ref="I35:I40"/>
    <mergeCell ref="M35:M40"/>
    <mergeCell ref="B33:P33"/>
    <mergeCell ref="A30:Q30"/>
    <mergeCell ref="B22:P22"/>
    <mergeCell ref="K58:L58"/>
    <mergeCell ref="A55:A65"/>
    <mergeCell ref="O64:P64"/>
    <mergeCell ref="M64:N64"/>
    <mergeCell ref="K61:L61"/>
    <mergeCell ref="O57:P57"/>
    <mergeCell ref="K57:L57"/>
    <mergeCell ref="K56:L56"/>
    <mergeCell ref="O56:P56"/>
    <mergeCell ref="O61:P61"/>
    <mergeCell ref="K62:L62"/>
    <mergeCell ref="M63:N63"/>
    <mergeCell ref="C57:J57"/>
    <mergeCell ref="C58:J58"/>
    <mergeCell ref="C59:J59"/>
    <mergeCell ref="O63:P63"/>
    <mergeCell ref="A43:Q43"/>
    <mergeCell ref="B45:P45"/>
    <mergeCell ref="A52:Q52"/>
    <mergeCell ref="A44:A51"/>
    <mergeCell ref="E46:E51"/>
    <mergeCell ref="I46:I51"/>
    <mergeCell ref="M46:M51"/>
    <mergeCell ref="Q44:Q51"/>
    <mergeCell ref="B44:P44"/>
    <mergeCell ref="B55:P55"/>
    <mergeCell ref="O62:P62"/>
    <mergeCell ref="M56:N56"/>
    <mergeCell ref="M58:N58"/>
    <mergeCell ref="M57:N57"/>
    <mergeCell ref="M59:N59"/>
    <mergeCell ref="C60:J60"/>
    <mergeCell ref="C61:J61"/>
    <mergeCell ref="C62:J62"/>
    <mergeCell ref="O60:P60"/>
    <mergeCell ref="M62:N62"/>
    <mergeCell ref="O59:P59"/>
    <mergeCell ref="M60:N60"/>
    <mergeCell ref="M61:N61"/>
    <mergeCell ref="K60:L60"/>
    <mergeCell ref="O58:P58"/>
    <mergeCell ref="C67:L67"/>
    <mergeCell ref="A8:Q8"/>
    <mergeCell ref="B1:P1"/>
    <mergeCell ref="B2:P2"/>
    <mergeCell ref="B4:P4"/>
    <mergeCell ref="A1:A7"/>
    <mergeCell ref="Q1:Q7"/>
    <mergeCell ref="B5:P5"/>
    <mergeCell ref="B6:P6"/>
    <mergeCell ref="B7:P7"/>
    <mergeCell ref="B65:Q65"/>
    <mergeCell ref="Q55:Q64"/>
    <mergeCell ref="K63:L63"/>
    <mergeCell ref="K64:L64"/>
    <mergeCell ref="C56:J56"/>
    <mergeCell ref="K59:L59"/>
  </mergeCells>
  <phoneticPr fontId="2" type="noConversion"/>
  <printOptions horizontalCentered="1" verticalCentered="1"/>
  <pageMargins left="0.7" right="0.7" top="0.75" bottom="0.75" header="0.3" footer="0.3"/>
  <pageSetup paperSize="9" scale="23" pageOrder="overThenDown"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REGULAMENTO</vt:lpstr>
      <vt:lpstr>GRUPOS</vt:lpstr>
      <vt:lpstr>TABELA FEM</vt:lpstr>
      <vt:lpstr>AVERAGE FEM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Wander Lucas Vale da Silva</dc:creator>
  <cp:lastModifiedBy>Tiago Stangarlin</cp:lastModifiedBy>
  <cp:lastPrinted>2025-10-23T11:26:29Z</cp:lastPrinted>
  <dcterms:created xsi:type="dcterms:W3CDTF">2022-11-04T18:41:09Z</dcterms:created>
  <dcterms:modified xsi:type="dcterms:W3CDTF">2026-05-16T19:11:50Z</dcterms:modified>
</cp:coreProperties>
</file>