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CT 2026\1ª ETAPA 2026 - ARENA CAFFE\CATEGORIAS\INTERMEDIÁRIO FEM\"/>
    </mc:Choice>
  </mc:AlternateContent>
  <xr:revisionPtr revIDLastSave="0" documentId="13_ncr:1_{8C46326A-148F-494C-AD64-747662C2BD45}" xr6:coauthVersionLast="47" xr6:coauthVersionMax="47" xr10:uidLastSave="{00000000-0000-0000-0000-000000000000}"/>
  <bookViews>
    <workbookView xWindow="-108" yWindow="-108" windowWidth="23256" windowHeight="12456" activeTab="2" xr2:uid="{F3961328-0035-4217-99ED-6477153DAF09}"/>
  </bookViews>
  <sheets>
    <sheet name="REGULAMENTO" sheetId="50" r:id="rId1"/>
    <sheet name="GRUPOS" sheetId="48" r:id="rId2"/>
    <sheet name="TABELA_AVERAGE" sheetId="49" r:id="rId3"/>
  </sheets>
  <definedNames>
    <definedName name="FromArray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0" i="49" l="1"/>
  <c r="W12" i="49"/>
  <c r="V11" i="49"/>
  <c r="W33" i="49"/>
  <c r="V33" i="49"/>
  <c r="U33" i="49"/>
  <c r="T33" i="49"/>
  <c r="R30" i="49"/>
  <c r="S30" i="49"/>
  <c r="W32" i="49"/>
  <c r="V32" i="49"/>
  <c r="U32" i="49"/>
  <c r="T32" i="49"/>
  <c r="W31" i="49"/>
  <c r="V31" i="49"/>
  <c r="U31" i="49"/>
  <c r="T31" i="49"/>
  <c r="W30" i="49"/>
  <c r="U30" i="49"/>
  <c r="T30" i="49"/>
  <c r="W26" i="49"/>
  <c r="V26" i="49"/>
  <c r="U26" i="49"/>
  <c r="T26" i="49"/>
  <c r="W25" i="49"/>
  <c r="V25" i="49"/>
  <c r="U25" i="49"/>
  <c r="T25" i="49"/>
  <c r="W24" i="49"/>
  <c r="V24" i="49"/>
  <c r="U24" i="49"/>
  <c r="T24" i="49"/>
  <c r="W23" i="49"/>
  <c r="V23" i="49"/>
  <c r="U23" i="49"/>
  <c r="T23" i="49"/>
  <c r="W19" i="49"/>
  <c r="V19" i="49"/>
  <c r="U19" i="49"/>
  <c r="T19" i="49"/>
  <c r="W18" i="49"/>
  <c r="V18" i="49"/>
  <c r="U18" i="49"/>
  <c r="T18" i="49"/>
  <c r="W17" i="49"/>
  <c r="V17" i="49"/>
  <c r="U17" i="49"/>
  <c r="T17" i="49"/>
  <c r="W16" i="49"/>
  <c r="V16" i="49"/>
  <c r="U16" i="49"/>
  <c r="T16" i="49"/>
  <c r="V12" i="49"/>
  <c r="U12" i="49"/>
  <c r="T12" i="49"/>
  <c r="W11" i="49"/>
  <c r="U11" i="49"/>
  <c r="T11" i="49"/>
  <c r="W10" i="49"/>
  <c r="V10" i="49"/>
  <c r="U10" i="49"/>
  <c r="T10" i="49"/>
  <c r="W9" i="49"/>
  <c r="V9" i="49"/>
  <c r="U9" i="49"/>
  <c r="T9" i="49"/>
  <c r="S33" i="49"/>
  <c r="R33" i="49"/>
  <c r="S32" i="49"/>
  <c r="R32" i="49"/>
  <c r="S31" i="49"/>
  <c r="R31" i="49"/>
  <c r="S26" i="49"/>
  <c r="R26" i="49"/>
  <c r="S25" i="49"/>
  <c r="R25" i="49"/>
  <c r="S24" i="49"/>
  <c r="R24" i="49"/>
  <c r="S23" i="49"/>
  <c r="R23" i="49"/>
  <c r="S19" i="49"/>
  <c r="R19" i="49"/>
  <c r="S18" i="49"/>
  <c r="R18" i="49"/>
  <c r="S17" i="49"/>
  <c r="R17" i="49"/>
  <c r="S16" i="49"/>
  <c r="R16" i="49"/>
  <c r="Q33" i="49"/>
  <c r="Q32" i="49"/>
  <c r="Q31" i="49"/>
  <c r="Q30" i="49"/>
  <c r="Q26" i="49"/>
  <c r="Q25" i="49"/>
  <c r="Q24" i="49"/>
  <c r="Q23" i="49"/>
  <c r="Q19" i="49"/>
  <c r="Q18" i="49"/>
  <c r="Q17" i="49"/>
  <c r="Q16" i="49"/>
  <c r="K35" i="49"/>
  <c r="K37" i="49"/>
  <c r="K38" i="49"/>
  <c r="K36" i="49"/>
  <c r="G36" i="49"/>
  <c r="G38" i="49"/>
  <c r="G37" i="49"/>
  <c r="G35" i="49"/>
  <c r="S12" i="49"/>
  <c r="R12" i="49"/>
  <c r="S11" i="49"/>
  <c r="R11" i="49"/>
  <c r="S10" i="49"/>
  <c r="R10" i="49"/>
  <c r="S9" i="49"/>
  <c r="R9" i="49"/>
  <c r="Q12" i="49"/>
  <c r="Q11" i="49"/>
  <c r="Q10" i="49"/>
  <c r="Q9" i="49"/>
  <c r="O12" i="48"/>
  <c r="K12" i="49" s="1"/>
  <c r="K12" i="48"/>
  <c r="G12" i="48"/>
  <c r="K10" i="49" s="1"/>
  <c r="C12" i="48"/>
  <c r="O11" i="48"/>
  <c r="K16" i="49" s="1"/>
  <c r="K11" i="48"/>
  <c r="K15" i="49" s="1"/>
  <c r="G11" i="48"/>
  <c r="K14" i="49" s="1"/>
  <c r="C11" i="48"/>
  <c r="O10" i="48"/>
  <c r="K10" i="48"/>
  <c r="G10" i="48"/>
  <c r="C10" i="48"/>
  <c r="O9" i="48"/>
  <c r="K9" i="48"/>
  <c r="G9" i="48"/>
  <c r="C9" i="48"/>
  <c r="G32" i="49" l="1"/>
  <c r="K31" i="49"/>
  <c r="G30" i="49"/>
  <c r="G29" i="49"/>
  <c r="G28" i="49"/>
  <c r="K26" i="49"/>
  <c r="G26" i="49"/>
  <c r="K24" i="49"/>
  <c r="G24" i="49"/>
  <c r="K22" i="49"/>
  <c r="G21" i="49"/>
  <c r="G20" i="49"/>
  <c r="G19" i="49"/>
  <c r="K17" i="49"/>
  <c r="K32" i="49"/>
  <c r="G31" i="49"/>
  <c r="K30" i="49"/>
  <c r="K29" i="49"/>
  <c r="K28" i="49"/>
  <c r="K27" i="49"/>
  <c r="G27" i="49"/>
  <c r="K25" i="49"/>
  <c r="G25" i="49"/>
  <c r="K23" i="49"/>
  <c r="G23" i="49"/>
  <c r="G22" i="49"/>
  <c r="K21" i="49"/>
  <c r="K20" i="49"/>
  <c r="K19" i="49"/>
  <c r="K18" i="49"/>
  <c r="G18" i="49"/>
  <c r="G17" i="49"/>
  <c r="X33" i="49"/>
  <c r="Y26" i="49"/>
  <c r="X26" i="49"/>
  <c r="Y25" i="49"/>
  <c r="X25" i="49"/>
  <c r="Y24" i="49"/>
  <c r="X24" i="49"/>
  <c r="Y23" i="49"/>
  <c r="X23" i="49"/>
  <c r="Y19" i="49"/>
  <c r="X19" i="49"/>
  <c r="Y18" i="49"/>
  <c r="X18" i="49"/>
  <c r="Y17" i="49"/>
  <c r="X17" i="49"/>
  <c r="Y16" i="49"/>
  <c r="Y12" i="49"/>
  <c r="X12" i="49"/>
  <c r="Y11" i="49"/>
  <c r="X11" i="49"/>
  <c r="Y10" i="49"/>
  <c r="X10" i="49"/>
  <c r="Y9" i="49"/>
  <c r="X9" i="49"/>
  <c r="X16" i="49"/>
  <c r="Y30" i="49"/>
  <c r="X30" i="49"/>
  <c r="X31" i="49"/>
  <c r="Y33" i="49"/>
  <c r="Y31" i="49"/>
  <c r="X32" i="49"/>
  <c r="Y32" i="49"/>
  <c r="G13" i="49"/>
  <c r="K13" i="49"/>
  <c r="G11" i="49"/>
  <c r="G15" i="49"/>
  <c r="K9" i="49"/>
  <c r="G12" i="49"/>
  <c r="G14" i="49"/>
  <c r="G16" i="49"/>
  <c r="K11" i="49"/>
  <c r="G10" i="49"/>
  <c r="G9" i="49"/>
  <c r="Z33" i="49" l="1"/>
  <c r="Z26" i="49"/>
  <c r="Z25" i="49"/>
  <c r="Z24" i="49"/>
  <c r="Z23" i="49"/>
  <c r="Z19" i="49"/>
  <c r="Z18" i="49"/>
  <c r="Z17" i="49"/>
  <c r="Z16" i="49"/>
  <c r="Z12" i="49"/>
  <c r="Z10" i="49"/>
  <c r="Z11" i="49"/>
  <c r="Z9" i="49"/>
  <c r="Z30" i="49"/>
  <c r="Z31" i="49"/>
  <c r="Z32" i="49"/>
</calcChain>
</file>

<file path=xl/sharedStrings.xml><?xml version="1.0" encoding="utf-8"?>
<sst xmlns="http://schemas.openxmlformats.org/spreadsheetml/2006/main" count="475" uniqueCount="211">
  <si>
    <t>1º</t>
  </si>
  <si>
    <t>4º</t>
  </si>
  <si>
    <t>2º</t>
  </si>
  <si>
    <t>3º</t>
  </si>
  <si>
    <t>5º</t>
  </si>
  <si>
    <t>6º</t>
  </si>
  <si>
    <t>7º</t>
  </si>
  <si>
    <t>8º</t>
  </si>
  <si>
    <t>Jogo</t>
  </si>
  <si>
    <t>Hora</t>
  </si>
  <si>
    <t>Quadra</t>
  </si>
  <si>
    <t>Equipe 1</t>
  </si>
  <si>
    <t>Equipe 2</t>
  </si>
  <si>
    <t>X</t>
  </si>
  <si>
    <t>DUPLA</t>
  </si>
  <si>
    <t>Dupla</t>
  </si>
  <si>
    <t>A</t>
  </si>
  <si>
    <t>B</t>
  </si>
  <si>
    <t>Grupo</t>
  </si>
  <si>
    <t>GRUPO A</t>
  </si>
  <si>
    <t>GRUPO B</t>
  </si>
  <si>
    <t>SEMIFINAIS</t>
  </si>
  <si>
    <t>FASE DE GRUPOS</t>
  </si>
  <si>
    <t>Distribuição pelo ranking no modo serpentina</t>
  </si>
  <si>
    <t>GRUPO C</t>
  </si>
  <si>
    <t>GRUPO D</t>
  </si>
  <si>
    <t>RK</t>
  </si>
  <si>
    <t>CÓD</t>
  </si>
  <si>
    <t>A1</t>
  </si>
  <si>
    <t>B1</t>
  </si>
  <si>
    <t>C1</t>
  </si>
  <si>
    <t>D1</t>
  </si>
  <si>
    <t>A2</t>
  </si>
  <si>
    <t>B2</t>
  </si>
  <si>
    <t>C2</t>
  </si>
  <si>
    <t>D2</t>
  </si>
  <si>
    <t>9º</t>
  </si>
  <si>
    <t>A3</t>
  </si>
  <si>
    <t>10º</t>
  </si>
  <si>
    <t>B3</t>
  </si>
  <si>
    <t>11º</t>
  </si>
  <si>
    <t>C3</t>
  </si>
  <si>
    <t>12º</t>
  </si>
  <si>
    <t>D3</t>
  </si>
  <si>
    <t>16º</t>
  </si>
  <si>
    <t>A4</t>
  </si>
  <si>
    <t>15º</t>
  </si>
  <si>
    <t>B4</t>
  </si>
  <si>
    <t>14º</t>
  </si>
  <si>
    <t>C4</t>
  </si>
  <si>
    <t>13º</t>
  </si>
  <si>
    <t>D4</t>
  </si>
  <si>
    <t>Código</t>
  </si>
  <si>
    <t>C</t>
  </si>
  <si>
    <t>D</t>
  </si>
  <si>
    <t>QUARTAS DE FINAL</t>
  </si>
  <si>
    <t>Venc. Jogo 25</t>
  </si>
  <si>
    <t>Venc. Jogo 26</t>
  </si>
  <si>
    <t>F1</t>
  </si>
  <si>
    <t>F2</t>
  </si>
  <si>
    <t>1º Geral</t>
  </si>
  <si>
    <t>2º Geral</t>
  </si>
  <si>
    <t>3º Geral</t>
  </si>
  <si>
    <t>4º Geral</t>
  </si>
  <si>
    <t>5º Geral</t>
  </si>
  <si>
    <t>6º Geral</t>
  </si>
  <si>
    <t>7º Geral</t>
  </si>
  <si>
    <t>8º Geral</t>
  </si>
  <si>
    <t>10:00</t>
  </si>
  <si>
    <t>10:20</t>
  </si>
  <si>
    <t>10:40</t>
  </si>
  <si>
    <t>11:00</t>
  </si>
  <si>
    <t>11:20</t>
  </si>
  <si>
    <t>11:40</t>
  </si>
  <si>
    <t>12:00</t>
  </si>
  <si>
    <t>12:20</t>
  </si>
  <si>
    <t>12:40</t>
  </si>
  <si>
    <t>13:00</t>
  </si>
  <si>
    <t>14:00</t>
  </si>
  <si>
    <t>14:20</t>
  </si>
  <si>
    <t>14:40</t>
  </si>
  <si>
    <t>15:00</t>
  </si>
  <si>
    <t>1G</t>
  </si>
  <si>
    <t>4G</t>
  </si>
  <si>
    <t>2G</t>
  </si>
  <si>
    <t>3G</t>
  </si>
  <si>
    <t>8G</t>
  </si>
  <si>
    <t>5G</t>
  </si>
  <si>
    <t>7G</t>
  </si>
  <si>
    <t>6G</t>
  </si>
  <si>
    <t>VJ25</t>
  </si>
  <si>
    <t>VJ26</t>
  </si>
  <si>
    <t>PC</t>
  </si>
  <si>
    <t>TPF</t>
  </si>
  <si>
    <t>TPC</t>
  </si>
  <si>
    <t>Partidas</t>
  </si>
  <si>
    <t>Ponto Average</t>
  </si>
  <si>
    <t>Score</t>
  </si>
  <si>
    <t>Average</t>
  </si>
  <si>
    <t>CLASSIFICAÇÃO GERAL</t>
  </si>
  <si>
    <t>Ordem</t>
  </si>
  <si>
    <t>P. Average</t>
  </si>
  <si>
    <t>Legenda:</t>
  </si>
  <si>
    <t>Pontos Pró</t>
  </si>
  <si>
    <t>PP</t>
  </si>
  <si>
    <t>Pontos Contra</t>
  </si>
  <si>
    <t>TPP</t>
  </si>
  <si>
    <t>Total Pontos Pró</t>
  </si>
  <si>
    <t>Total Pontos Contra</t>
  </si>
  <si>
    <t>QF1</t>
  </si>
  <si>
    <t>QF2</t>
  </si>
  <si>
    <t>QF3</t>
  </si>
  <si>
    <t>QF4</t>
  </si>
  <si>
    <t>SF1</t>
  </si>
  <si>
    <t>SF2</t>
  </si>
  <si>
    <t xml:space="preserve"> 1ª Etapa (Arena Caffe)</t>
  </si>
  <si>
    <t>Circuito NCT Vôlei de Praia 2026</t>
  </si>
  <si>
    <t>TABELA</t>
  </si>
  <si>
    <t>Blocos</t>
  </si>
  <si>
    <t xml:space="preserve">⚠️ Nota: </t>
  </si>
  <si>
    <t>BLOCO A</t>
  </si>
  <si>
    <t>REGULAMENTO</t>
  </si>
  <si>
    <t xml:space="preserve">1º </t>
  </si>
  <si>
    <t>BLOCO B</t>
  </si>
  <si>
    <t>13:20</t>
  </si>
  <si>
    <t>13:40</t>
  </si>
  <si>
    <t>FINAL 1 (Bronze)</t>
  </si>
  <si>
    <t>VJ27</t>
  </si>
  <si>
    <t>Venc. Jogo 27</t>
  </si>
  <si>
    <t>Venc. Jogo 28</t>
  </si>
  <si>
    <t>VJ28</t>
  </si>
  <si>
    <t>Perd. Jogo 29</t>
  </si>
  <si>
    <t>Perd. Jogo 30</t>
  </si>
  <si>
    <t>PJ30</t>
  </si>
  <si>
    <t>PJ29</t>
  </si>
  <si>
    <t>VJ29</t>
  </si>
  <si>
    <t>Venc. Jogo 29</t>
  </si>
  <si>
    <t>Venc. Jogo 30</t>
  </si>
  <si>
    <t>VJ30</t>
  </si>
  <si>
    <t>FINAL 2 (Ouro/Prata) - Jogo Melhor de 3</t>
  </si>
  <si>
    <t>A: 1º, 8º, 4º e 5º Geral</t>
  </si>
  <si>
    <t>B: 2º, 7º, 3º e 6º Geral</t>
  </si>
  <si>
    <t>Número de vitórias</t>
  </si>
  <si>
    <t>Confronto direto</t>
  </si>
  <si>
    <t>Sorteio (cara ou coroa)</t>
  </si>
  <si>
    <t>Na classificação geral, segue-se  os critérios acima, independente da posição conquistada no grupo.</t>
  </si>
  <si>
    <t>🏆 PREMIAÇÃO</t>
  </si>
  <si>
    <t xml:space="preserve"> Troféus</t>
  </si>
  <si>
    <t>1º ao 4º lugar</t>
  </si>
  <si>
    <t>📍 CHECK-IN DO TORNEIO  | DADOS TÉCNICOS</t>
  </si>
  <si>
    <r>
      <t>LOCAL:</t>
    </r>
    <r>
      <rPr>
        <sz val="11"/>
        <color theme="1"/>
        <rFont val="Aptos"/>
        <family val="2"/>
      </rPr>
      <t xml:space="preserve"> Arena Caffe (Gama)</t>
    </r>
    <r>
      <rPr>
        <b/>
        <sz val="11"/>
        <color theme="1"/>
        <rFont val="Aptos"/>
        <family val="2"/>
      </rPr>
      <t xml:space="preserve">  📍 </t>
    </r>
    <r>
      <rPr>
        <sz val="11"/>
        <color theme="1"/>
        <rFont val="Aptos"/>
        <family val="2"/>
      </rPr>
      <t>localização anexada no grupo de Whatsapp</t>
    </r>
  </si>
  <si>
    <r>
      <t>FORMATO:</t>
    </r>
    <r>
      <rPr>
        <sz val="11"/>
        <color theme="1"/>
        <rFont val="Aptos"/>
        <family val="2"/>
      </rPr>
      <t xml:space="preserve"> 16 Duplas | 32 Partidas | 4 Grupos de 4 duplas | 2 Quadras</t>
    </r>
  </si>
  <si>
    <r>
      <t>SET:</t>
    </r>
    <r>
      <rPr>
        <sz val="11"/>
        <color theme="1"/>
        <rFont val="Aptos"/>
        <family val="2"/>
      </rPr>
      <t xml:space="preserve"> Único de 21 pontos (exceto Final 2)</t>
    </r>
  </si>
  <si>
    <t xml:space="preserve">🏐 FASE DE GRUPOS: </t>
  </si>
  <si>
    <r>
      <t xml:space="preserve">Formato: </t>
    </r>
    <r>
      <rPr>
        <sz val="11"/>
        <color theme="1"/>
        <rFont val="Aptos"/>
        <family val="2"/>
      </rPr>
      <t>todos contra todos</t>
    </r>
  </si>
  <si>
    <r>
      <t>Classificação:</t>
    </r>
    <r>
      <rPr>
        <sz val="11"/>
        <color theme="1"/>
        <rFont val="Aptos"/>
        <family val="2"/>
      </rPr>
      <t xml:space="preserve"> somente as 2 (duas) melhores duplas de cada grupo</t>
    </r>
  </si>
  <si>
    <t>📊 CLASSIFICAÇÃO GERAL PARA QUARTAS-DE-FINAL</t>
  </si>
  <si>
    <t>🔥 CHAVEAMENTO (MATA-MATA)</t>
  </si>
  <si>
    <r>
      <t xml:space="preserve">·      </t>
    </r>
    <r>
      <rPr>
        <b/>
        <sz val="11"/>
        <color theme="1"/>
        <rFont val="Aptos"/>
        <family val="2"/>
      </rPr>
      <t>J25:</t>
    </r>
    <r>
      <rPr>
        <sz val="11"/>
        <color theme="1"/>
        <rFont val="Aptos"/>
        <family val="2"/>
      </rPr>
      <t xml:space="preserve"> 1º GERAL </t>
    </r>
    <r>
      <rPr>
        <b/>
        <sz val="11"/>
        <color theme="1"/>
        <rFont val="Aptos"/>
        <family val="2"/>
      </rPr>
      <t>vs</t>
    </r>
    <r>
      <rPr>
        <sz val="11"/>
        <color theme="1"/>
        <rFont val="Aptos"/>
        <family val="2"/>
      </rPr>
      <t xml:space="preserve"> 8º GERAL</t>
    </r>
  </si>
  <si>
    <r>
      <t xml:space="preserve">·      </t>
    </r>
    <r>
      <rPr>
        <b/>
        <sz val="11"/>
        <color theme="1"/>
        <rFont val="Aptos"/>
        <family val="2"/>
      </rPr>
      <t>J26:</t>
    </r>
    <r>
      <rPr>
        <sz val="11"/>
        <color theme="1"/>
        <rFont val="Aptos"/>
        <family val="2"/>
      </rPr>
      <t xml:space="preserve"> 4º GERAL </t>
    </r>
    <r>
      <rPr>
        <b/>
        <sz val="11"/>
        <color theme="1"/>
        <rFont val="Aptos"/>
        <family val="2"/>
      </rPr>
      <t>vs</t>
    </r>
    <r>
      <rPr>
        <sz val="11"/>
        <color theme="1"/>
        <rFont val="Aptos"/>
        <family val="2"/>
      </rPr>
      <t xml:space="preserve"> 5º GERAL</t>
    </r>
  </si>
  <si>
    <r>
      <t xml:space="preserve">·      </t>
    </r>
    <r>
      <rPr>
        <b/>
        <sz val="11"/>
        <color theme="1"/>
        <rFont val="Aptos"/>
        <family val="2"/>
      </rPr>
      <t>SEMIFINAL 1:</t>
    </r>
    <r>
      <rPr>
        <sz val="11"/>
        <color theme="1"/>
        <rFont val="Aptos"/>
        <family val="2"/>
      </rPr>
      <t xml:space="preserve"> V. J25 x V. J26</t>
    </r>
  </si>
  <si>
    <r>
      <t xml:space="preserve">·      </t>
    </r>
    <r>
      <rPr>
        <b/>
        <sz val="11"/>
        <color theme="1"/>
        <rFont val="Aptos"/>
        <family val="2"/>
      </rPr>
      <t>J27:</t>
    </r>
    <r>
      <rPr>
        <sz val="11"/>
        <color theme="1"/>
        <rFont val="Aptos"/>
        <family val="2"/>
      </rPr>
      <t xml:space="preserve"> 2º GERAL </t>
    </r>
    <r>
      <rPr>
        <b/>
        <sz val="11"/>
        <color theme="1"/>
        <rFont val="Aptos"/>
        <family val="2"/>
      </rPr>
      <t>vs</t>
    </r>
    <r>
      <rPr>
        <sz val="11"/>
        <color theme="1"/>
        <rFont val="Aptos"/>
        <family val="2"/>
      </rPr>
      <t xml:space="preserve"> 7º GERAL</t>
    </r>
  </si>
  <si>
    <r>
      <t xml:space="preserve">·      </t>
    </r>
    <r>
      <rPr>
        <b/>
        <sz val="11"/>
        <color theme="1"/>
        <rFont val="Aptos"/>
        <family val="2"/>
      </rPr>
      <t>J28:</t>
    </r>
    <r>
      <rPr>
        <sz val="11"/>
        <color theme="1"/>
        <rFont val="Aptos"/>
        <family val="2"/>
      </rPr>
      <t xml:space="preserve"> 3º GERAL </t>
    </r>
    <r>
      <rPr>
        <b/>
        <sz val="11"/>
        <color theme="1"/>
        <rFont val="Aptos"/>
        <family val="2"/>
      </rPr>
      <t>vs</t>
    </r>
    <r>
      <rPr>
        <sz val="11"/>
        <color theme="1"/>
        <rFont val="Aptos"/>
        <family val="2"/>
      </rPr>
      <t xml:space="preserve"> 6º GERAL</t>
    </r>
  </si>
  <si>
    <r>
      <t xml:space="preserve">·      </t>
    </r>
    <r>
      <rPr>
        <b/>
        <sz val="11"/>
        <color theme="1"/>
        <rFont val="Aptos"/>
        <family val="2"/>
      </rPr>
      <t xml:space="preserve">SEMIFINAL 2: </t>
    </r>
    <r>
      <rPr>
        <sz val="11"/>
        <color theme="1"/>
        <rFont val="Aptos"/>
        <family val="2"/>
      </rPr>
      <t xml:space="preserve"> V. J27 x V. J28</t>
    </r>
  </si>
  <si>
    <r>
      <t xml:space="preserve">·      </t>
    </r>
    <r>
      <rPr>
        <b/>
        <sz val="11"/>
        <color theme="1"/>
        <rFont val="Aptos"/>
        <family val="2"/>
      </rPr>
      <t>FINAL 1:</t>
    </r>
    <r>
      <rPr>
        <sz val="11"/>
        <color theme="1"/>
        <rFont val="Aptos"/>
        <family val="2"/>
      </rPr>
      <t xml:space="preserve"> Bronze (Perdedores das semifinais)</t>
    </r>
  </si>
  <si>
    <r>
      <t xml:space="preserve">·      </t>
    </r>
    <r>
      <rPr>
        <b/>
        <sz val="11"/>
        <color theme="1"/>
        <rFont val="Aptos"/>
        <family val="2"/>
      </rPr>
      <t xml:space="preserve">FINAL 2: </t>
    </r>
    <r>
      <rPr>
        <sz val="11"/>
        <color theme="1"/>
        <rFont val="Aptos"/>
        <family val="2"/>
      </rPr>
      <t>Ouro e Prata (Vencedores das seminifinais)</t>
    </r>
  </si>
  <si>
    <t>📜 REGRAS DE CONDUTA E TÉCNICA</t>
  </si>
  <si>
    <r>
      <t>W.O. &amp; DESISTÊNCIA:</t>
    </r>
    <r>
      <rPr>
        <sz val="11"/>
        <color theme="1"/>
        <rFont val="Aptos"/>
        <family val="2"/>
      </rPr>
      <t xml:space="preserve"> No W.O, vitória da dupla presente, sem saldo de pontos. Em desistência, placar de 21 (ou dif. de 2) para quem ficou mantendo-se o placar do desistente.</t>
    </r>
  </si>
  <si>
    <r>
      <t>CLIMA/INTERRUPÇÃO:</t>
    </r>
    <r>
      <rPr>
        <sz val="11"/>
        <color theme="1"/>
        <rFont val="Aptos"/>
        <family val="2"/>
      </rPr>
      <t xml:space="preserve"> Até 4h de pausa, mantém o placar. Após 4h, reinício (0x0).</t>
    </r>
  </si>
  <si>
    <r>
      <t>UNIFORME:</t>
    </r>
    <r>
      <rPr>
        <sz val="11"/>
        <color theme="1"/>
        <rFont val="Aptos"/>
        <family val="2"/>
      </rPr>
      <t xml:space="preserve"> Camiseta NCT Temporada 2026 (Obrigatória). Bermudas iguais (Preferencial).</t>
    </r>
  </si>
  <si>
    <r>
      <t>DISCIPLINA:</t>
    </r>
    <r>
      <rPr>
        <sz val="11"/>
        <color theme="1"/>
        <rFont val="Aptos"/>
        <family val="2"/>
      </rPr>
      <t xml:space="preserve"> Tolerância zero para violência ou desrespeito. Sujeito a banimento imediato.</t>
    </r>
  </si>
  <si>
    <t>📈 PONTUAÇÃO RANKING NCT (Individual)</t>
  </si>
  <si>
    <t>🥇 1º</t>
  </si>
  <si>
    <t>🥈 2º</t>
  </si>
  <si>
    <t>🥉 3º</t>
  </si>
  <si>
    <t>🏅 4º</t>
  </si>
  <si>
    <t>🎖️ 5º a 8º</t>
  </si>
  <si>
    <t>🎖️ 9º a 16º</t>
  </si>
  <si>
    <t>Critérios de Desempate para:</t>
  </si>
  <si>
    <t>O chaveamento dos playoffs (do 1º ao 8º colocado) será estruturado da seguinte forma:</t>
  </si>
  <si>
    <r>
      <t>Fase de grupo</t>
    </r>
    <r>
      <rPr>
        <b/>
        <i/>
        <sz val="11"/>
        <rFont val="Aptos"/>
        <family val="2"/>
      </rPr>
      <t xml:space="preserve"> e</t>
    </r>
    <r>
      <rPr>
        <b/>
        <i/>
        <sz val="11"/>
        <color rgb="FF0070C0"/>
        <rFont val="Aptos"/>
        <family val="2"/>
      </rPr>
      <t xml:space="preserve"> </t>
    </r>
    <r>
      <rPr>
        <b/>
        <i/>
        <sz val="11"/>
        <color rgb="FF00B050"/>
        <rFont val="Aptos"/>
        <family val="2"/>
      </rPr>
      <t>Classificação geral</t>
    </r>
  </si>
  <si>
    <t>🏐 Intermediário Feminino 🏐</t>
  </si>
  <si>
    <t>GRUPOS  ( Intermediário Feminino)</t>
  </si>
  <si>
    <t>Sorteio</t>
  </si>
  <si>
    <t>Ranking Sorteado</t>
  </si>
  <si>
    <r>
      <t>DATA:</t>
    </r>
    <r>
      <rPr>
        <sz val="11"/>
        <color theme="1"/>
        <rFont val="Aptos"/>
        <family val="2"/>
      </rPr>
      <t xml:space="preserve"> 24/05/2026 (Domingo) às </t>
    </r>
    <r>
      <rPr>
        <b/>
        <sz val="11"/>
        <color theme="1"/>
        <rFont val="Aptos"/>
        <family val="2"/>
      </rPr>
      <t>7h30</t>
    </r>
    <r>
      <rPr>
        <sz val="11"/>
        <color theme="1"/>
        <rFont val="Aptos"/>
        <family val="2"/>
      </rPr>
      <t xml:space="preserve"> (início dos Jogos 1 e 2 às</t>
    </r>
    <r>
      <rPr>
        <b/>
        <sz val="11"/>
        <color theme="1"/>
        <rFont val="Aptos"/>
        <family val="2"/>
      </rPr>
      <t xml:space="preserve"> 8h</t>
    </r>
    <r>
      <rPr>
        <sz val="11"/>
        <color theme="1"/>
        <rFont val="Aptos"/>
        <family val="2"/>
      </rPr>
      <t>)</t>
    </r>
  </si>
  <si>
    <t>Brunele Noronha/Milena Menezes</t>
  </si>
  <si>
    <t>Luana/Juliane</t>
  </si>
  <si>
    <t>Camila/Fabi</t>
  </si>
  <si>
    <t>Julli/Rayanne</t>
  </si>
  <si>
    <t>Sarah/Marina Santos</t>
  </si>
  <si>
    <t>Sergi/Suzi</t>
  </si>
  <si>
    <t>Fran/Karu</t>
  </si>
  <si>
    <t>Alciene/Marina</t>
  </si>
  <si>
    <t>Dani Costa/Lígia</t>
  </si>
  <si>
    <t>Juliana/Bruna Caltabiano</t>
  </si>
  <si>
    <t>Iza/Ray</t>
  </si>
  <si>
    <t>Lili/Gadelha</t>
  </si>
  <si>
    <t>Rafa Silva/Julia Klin</t>
  </si>
  <si>
    <t>Tata Bonini/Duda Rocha</t>
  </si>
  <si>
    <t>⁠Manu Gomes/Julia Evelyn</t>
  </si>
  <si>
    <t>Isabela Monteiro/Marina Vasconcelos</t>
  </si>
  <si>
    <t>Ordem do sorteio</t>
  </si>
  <si>
    <t>Isabela Monteiro/Marina Vasc.</t>
  </si>
  <si>
    <t>Brunele N./Milena Menezes</t>
  </si>
  <si>
    <t>8:00</t>
  </si>
  <si>
    <t>8:20</t>
  </si>
  <si>
    <t>8:40</t>
  </si>
  <si>
    <t>9:00</t>
  </si>
  <si>
    <t>9:20</t>
  </si>
  <si>
    <t>9:40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</si>
</sst>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$&quot;\ #,##0.00;[Red]\-&quot;R$&quot;\ #,##0.00"/>
    <numFmt numFmtId="43" formatCode="_-* #,##0.00_-;\-* #,##0.00_-;_-* &quot;-&quot;??_-;_-@_-"/>
  </numFmts>
  <fonts count="2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/>
      <name val="Aptos"/>
      <family val="2"/>
    </font>
    <font>
      <sz val="11"/>
      <color theme="1"/>
      <name val="Aptos"/>
      <family val="2"/>
    </font>
    <font>
      <sz val="12"/>
      <color rgb="FF000000"/>
      <name val="Aptos"/>
      <family val="2"/>
    </font>
    <font>
      <b/>
      <sz val="12"/>
      <color rgb="FFFF0000"/>
      <name val="Calibri"/>
      <family val="2"/>
      <scheme val="minor"/>
    </font>
    <font>
      <b/>
      <sz val="12"/>
      <color theme="1"/>
      <name val="Aptos"/>
      <family val="2"/>
    </font>
    <font>
      <sz val="12"/>
      <color theme="1"/>
      <name val="Aptos"/>
      <family val="2"/>
    </font>
    <font>
      <b/>
      <sz val="28"/>
      <color theme="1"/>
      <name val="Aptos"/>
      <family val="2"/>
    </font>
    <font>
      <b/>
      <sz val="12"/>
      <color theme="0"/>
      <name val="Aptos"/>
      <family val="2"/>
    </font>
    <font>
      <b/>
      <sz val="26"/>
      <name val="Aptos"/>
      <family val="2"/>
    </font>
    <font>
      <b/>
      <sz val="16"/>
      <color theme="1"/>
      <name val="Calibri"/>
      <family val="2"/>
      <scheme val="minor"/>
    </font>
    <font>
      <b/>
      <sz val="26"/>
      <color theme="1"/>
      <name val="Aptos"/>
      <family val="2"/>
    </font>
    <font>
      <b/>
      <sz val="18"/>
      <color theme="1"/>
      <name val="Aptos"/>
      <family val="2"/>
    </font>
    <font>
      <b/>
      <sz val="18"/>
      <name val="Aptos"/>
      <family val="2"/>
    </font>
    <font>
      <sz val="10"/>
      <color theme="1"/>
      <name val="Calibri"/>
      <family val="2"/>
      <scheme val="minor"/>
    </font>
    <font>
      <b/>
      <sz val="11"/>
      <color theme="1"/>
      <name val="Aptos"/>
      <family val="2"/>
    </font>
    <font>
      <i/>
      <sz val="11"/>
      <color theme="1"/>
      <name val="Aptos"/>
      <family val="2"/>
    </font>
    <font>
      <b/>
      <i/>
      <sz val="11"/>
      <color rgb="FF0070C0"/>
      <name val="Aptos"/>
      <family val="2"/>
    </font>
    <font>
      <b/>
      <i/>
      <sz val="11"/>
      <name val="Aptos"/>
      <family val="2"/>
    </font>
    <font>
      <b/>
      <i/>
      <sz val="11"/>
      <color rgb="FF00B050"/>
      <name val="Aptos"/>
      <family val="2"/>
    </font>
    <font>
      <b/>
      <sz val="11"/>
      <color theme="1"/>
      <name val="Calibri"/>
      <family val="2"/>
      <scheme val="minor"/>
    </font>
    <font>
      <b/>
      <sz val="16"/>
      <name val="Aptos"/>
      <family val="2"/>
    </font>
    <font>
      <b/>
      <sz val="28"/>
      <name val="Aptos"/>
      <family val="2"/>
    </font>
    <font>
      <b/>
      <sz val="22"/>
      <name val="Aptos"/>
      <family val="2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7474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1DDE7"/>
        <bgColor indexed="64"/>
      </patternFill>
    </fill>
  </fills>
  <borders count="5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03">
    <xf numFmtId="0" fontId="0" fillId="0" borderId="0" xfId="0"/>
    <xf numFmtId="0" fontId="0" fillId="0" borderId="0" xfId="0" applyAlignment="1">
      <alignment horizontal="center"/>
    </xf>
    <xf numFmtId="0" fontId="0" fillId="0" borderId="17" xfId="0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7" xfId="0" applyBorder="1"/>
    <xf numFmtId="0" fontId="0" fillId="0" borderId="24" xfId="0" applyBorder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9" fillId="3" borderId="15" xfId="0" applyFont="1" applyFill="1" applyBorder="1" applyAlignment="1">
      <alignment horizontal="center" vertical="center"/>
    </xf>
    <xf numFmtId="0" fontId="9" fillId="3" borderId="20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8" fillId="3" borderId="25" xfId="0" applyFont="1" applyFill="1" applyBorder="1" applyAlignment="1">
      <alignment horizontal="left" vertical="center" indent="1"/>
    </xf>
    <xf numFmtId="0" fontId="8" fillId="3" borderId="35" xfId="0" applyFont="1" applyFill="1" applyBorder="1" applyAlignment="1">
      <alignment horizontal="left" vertical="center" indent="1"/>
    </xf>
    <xf numFmtId="0" fontId="8" fillId="3" borderId="34" xfId="0" applyFont="1" applyFill="1" applyBorder="1" applyAlignment="1">
      <alignment horizontal="right" vertical="center" indent="1"/>
    </xf>
    <xf numFmtId="0" fontId="8" fillId="3" borderId="28" xfId="0" applyFont="1" applyFill="1" applyBorder="1" applyAlignment="1">
      <alignment horizontal="right" vertical="center" indent="1"/>
    </xf>
    <xf numFmtId="0" fontId="8" fillId="3" borderId="32" xfId="0" applyFont="1" applyFill="1" applyBorder="1" applyAlignment="1">
      <alignment horizontal="right" vertical="center" indent="1"/>
    </xf>
    <xf numFmtId="0" fontId="8" fillId="3" borderId="30" xfId="0" applyFont="1" applyFill="1" applyBorder="1" applyAlignment="1">
      <alignment horizontal="left" vertical="center" indent="1"/>
    </xf>
    <xf numFmtId="49" fontId="6" fillId="3" borderId="15" xfId="0" applyNumberFormat="1" applyFont="1" applyFill="1" applyBorder="1" applyAlignment="1">
      <alignment horizontal="center" vertical="center"/>
    </xf>
    <xf numFmtId="49" fontId="6" fillId="3" borderId="20" xfId="0" applyNumberFormat="1" applyFont="1" applyFill="1" applyBorder="1" applyAlignment="1">
      <alignment horizontal="center" vertical="center"/>
    </xf>
    <xf numFmtId="49" fontId="6" fillId="3" borderId="2" xfId="0" applyNumberFormat="1" applyFont="1" applyFill="1" applyBorder="1" applyAlignment="1">
      <alignment horizontal="center" vertical="center"/>
    </xf>
    <xf numFmtId="49" fontId="6" fillId="3" borderId="39" xfId="0" applyNumberFormat="1" applyFont="1" applyFill="1" applyBorder="1" applyAlignment="1">
      <alignment horizontal="center" vertical="center"/>
    </xf>
    <xf numFmtId="49" fontId="6" fillId="3" borderId="40" xfId="0" applyNumberFormat="1" applyFont="1" applyFill="1" applyBorder="1" applyAlignment="1">
      <alignment horizontal="center" vertical="center"/>
    </xf>
    <xf numFmtId="49" fontId="6" fillId="3" borderId="41" xfId="0" applyNumberFormat="1" applyFont="1" applyFill="1" applyBorder="1" applyAlignment="1">
      <alignment horizontal="center" vertical="center"/>
    </xf>
    <xf numFmtId="1" fontId="6" fillId="3" borderId="14" xfId="0" applyNumberFormat="1" applyFont="1" applyFill="1" applyBorder="1" applyAlignment="1">
      <alignment horizontal="center" vertical="center"/>
    </xf>
    <xf numFmtId="1" fontId="6" fillId="3" borderId="17" xfId="0" applyNumberFormat="1" applyFont="1" applyFill="1" applyBorder="1" applyAlignment="1">
      <alignment horizontal="center" vertical="center"/>
    </xf>
    <xf numFmtId="49" fontId="6" fillId="3" borderId="13" xfId="0" applyNumberFormat="1" applyFont="1" applyFill="1" applyBorder="1" applyAlignment="1">
      <alignment horizontal="center" vertical="center"/>
    </xf>
    <xf numFmtId="0" fontId="9" fillId="3" borderId="13" xfId="0" applyFont="1" applyFill="1" applyBorder="1" applyAlignment="1">
      <alignment horizontal="center" vertical="center"/>
    </xf>
    <xf numFmtId="0" fontId="9" fillId="3" borderId="18" xfId="0" applyFont="1" applyFill="1" applyBorder="1" applyAlignment="1">
      <alignment horizontal="center" vertical="center"/>
    </xf>
    <xf numFmtId="1" fontId="6" fillId="3" borderId="19" xfId="0" applyNumberFormat="1" applyFont="1" applyFill="1" applyBorder="1" applyAlignment="1">
      <alignment horizontal="center" vertical="center"/>
    </xf>
    <xf numFmtId="0" fontId="9" fillId="3" borderId="21" xfId="0" applyFont="1" applyFill="1" applyBorder="1" applyAlignment="1">
      <alignment horizontal="center" vertical="center"/>
    </xf>
    <xf numFmtId="0" fontId="9" fillId="3" borderId="16" xfId="0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/>
    </xf>
    <xf numFmtId="0" fontId="8" fillId="3" borderId="15" xfId="0" applyFont="1" applyFill="1" applyBorder="1" applyAlignment="1">
      <alignment horizontal="left" vertical="center" indent="1"/>
    </xf>
    <xf numFmtId="0" fontId="8" fillId="3" borderId="15" xfId="0" applyFont="1" applyFill="1" applyBorder="1" applyAlignment="1">
      <alignment horizontal="right" vertical="center" indent="1"/>
    </xf>
    <xf numFmtId="0" fontId="8" fillId="3" borderId="13" xfId="0" applyFont="1" applyFill="1" applyBorder="1" applyAlignment="1">
      <alignment horizontal="left" vertical="center" indent="1"/>
    </xf>
    <xf numFmtId="0" fontId="8" fillId="3" borderId="13" xfId="0" applyFont="1" applyFill="1" applyBorder="1" applyAlignment="1">
      <alignment horizontal="right" vertical="center" indent="1"/>
    </xf>
    <xf numFmtId="0" fontId="8" fillId="3" borderId="20" xfId="0" applyFont="1" applyFill="1" applyBorder="1" applyAlignment="1">
      <alignment horizontal="left" vertical="center" indent="1"/>
    </xf>
    <xf numFmtId="0" fontId="8" fillId="3" borderId="20" xfId="0" applyFont="1" applyFill="1" applyBorder="1" applyAlignment="1">
      <alignment horizontal="right" vertical="center" indent="1"/>
    </xf>
    <xf numFmtId="1" fontId="6" fillId="3" borderId="1" xfId="0" applyNumberFormat="1" applyFont="1" applyFill="1" applyBorder="1" applyAlignment="1">
      <alignment horizontal="center" vertical="center"/>
    </xf>
    <xf numFmtId="0" fontId="9" fillId="3" borderId="3" xfId="0" applyFont="1" applyFill="1" applyBorder="1" applyAlignment="1">
      <alignment horizontal="center" vertical="center"/>
    </xf>
    <xf numFmtId="0" fontId="0" fillId="0" borderId="6" xfId="0" applyBorder="1"/>
    <xf numFmtId="0" fontId="0" fillId="0" borderId="8" xfId="0" applyBorder="1"/>
    <xf numFmtId="0" fontId="0" fillId="0" borderId="9" xfId="0" applyBorder="1"/>
    <xf numFmtId="0" fontId="0" fillId="0" borderId="5" xfId="0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37" xfId="0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0" fillId="0" borderId="21" xfId="0" applyBorder="1"/>
    <xf numFmtId="0" fontId="0" fillId="0" borderId="40" xfId="0" applyBorder="1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1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8" xfId="0" applyBorder="1" applyAlignment="1">
      <alignment horizontal="center" vertical="center"/>
    </xf>
    <xf numFmtId="0" fontId="8" fillId="3" borderId="14" xfId="0" applyFont="1" applyFill="1" applyBorder="1" applyAlignment="1">
      <alignment horizontal="center" vertical="center"/>
    </xf>
    <xf numFmtId="0" fontId="8" fillId="3" borderId="15" xfId="0" applyFont="1" applyFill="1" applyBorder="1" applyAlignment="1">
      <alignment horizontal="center" vertical="center"/>
    </xf>
    <xf numFmtId="0" fontId="8" fillId="3" borderId="16" xfId="0" applyFont="1" applyFill="1" applyBorder="1" applyAlignment="1">
      <alignment horizontal="center" vertical="center"/>
    </xf>
    <xf numFmtId="0" fontId="9" fillId="3" borderId="17" xfId="0" applyFont="1" applyFill="1" applyBorder="1" applyAlignment="1">
      <alignment horizontal="center" vertical="center"/>
    </xf>
    <xf numFmtId="49" fontId="8" fillId="3" borderId="18" xfId="0" applyNumberFormat="1" applyFont="1" applyFill="1" applyBorder="1" applyAlignment="1">
      <alignment horizontal="center" vertical="center"/>
    </xf>
    <xf numFmtId="0" fontId="9" fillId="3" borderId="19" xfId="0" applyFont="1" applyFill="1" applyBorder="1" applyAlignment="1">
      <alignment horizontal="center" vertical="center"/>
    </xf>
    <xf numFmtId="49" fontId="8" fillId="3" borderId="21" xfId="0" applyNumberFormat="1" applyFont="1" applyFill="1" applyBorder="1" applyAlignment="1">
      <alignment horizontal="center" vertical="center"/>
    </xf>
    <xf numFmtId="0" fontId="9" fillId="3" borderId="33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0" fillId="0" borderId="26" xfId="0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6" borderId="30" xfId="0" applyFill="1" applyBorder="1" applyAlignment="1">
      <alignment horizontal="center" vertical="center"/>
    </xf>
    <xf numFmtId="0" fontId="0" fillId="0" borderId="16" xfId="0" applyBorder="1" applyAlignment="1">
      <alignment horizontal="left" vertical="center" indent="1"/>
    </xf>
    <xf numFmtId="0" fontId="0" fillId="0" borderId="18" xfId="0" applyBorder="1" applyAlignment="1">
      <alignment horizontal="left" vertical="center" indent="1"/>
    </xf>
    <xf numFmtId="0" fontId="0" fillId="0" borderId="21" xfId="0" applyBorder="1" applyAlignment="1">
      <alignment horizontal="left" vertical="center" indent="1"/>
    </xf>
    <xf numFmtId="49" fontId="8" fillId="3" borderId="13" xfId="0" applyNumberFormat="1" applyFont="1" applyFill="1" applyBorder="1" applyAlignment="1">
      <alignment horizontal="left" vertical="center" indent="1"/>
    </xf>
    <xf numFmtId="49" fontId="8" fillId="3" borderId="20" xfId="0" applyNumberFormat="1" applyFont="1" applyFill="1" applyBorder="1" applyAlignment="1">
      <alignment horizontal="left" vertical="center" indent="1"/>
    </xf>
    <xf numFmtId="0" fontId="8" fillId="3" borderId="18" xfId="0" applyFont="1" applyFill="1" applyBorder="1" applyAlignment="1">
      <alignment horizontal="left" vertical="center" indent="1"/>
    </xf>
    <xf numFmtId="49" fontId="8" fillId="3" borderId="18" xfId="0" applyNumberFormat="1" applyFont="1" applyFill="1" applyBorder="1" applyAlignment="1">
      <alignment horizontal="left" vertical="center" indent="1"/>
    </xf>
    <xf numFmtId="49" fontId="8" fillId="3" borderId="21" xfId="0" applyNumberFormat="1" applyFont="1" applyFill="1" applyBorder="1" applyAlignment="1">
      <alignment horizontal="left" vertical="center" indent="1"/>
    </xf>
    <xf numFmtId="0" fontId="9" fillId="3" borderId="11" xfId="0" applyFont="1" applyFill="1" applyBorder="1" applyAlignment="1">
      <alignment horizontal="center" vertical="center"/>
    </xf>
    <xf numFmtId="49" fontId="8" fillId="3" borderId="11" xfId="0" applyNumberFormat="1" applyFont="1" applyFill="1" applyBorder="1" applyAlignment="1">
      <alignment horizontal="left" vertical="center" indent="1"/>
    </xf>
    <xf numFmtId="49" fontId="8" fillId="3" borderId="11" xfId="0" applyNumberFormat="1" applyFont="1" applyFill="1" applyBorder="1" applyAlignment="1">
      <alignment horizontal="center" vertical="center"/>
    </xf>
    <xf numFmtId="0" fontId="16" fillId="3" borderId="11" xfId="0" applyFont="1" applyFill="1" applyBorder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49" fontId="8" fillId="3" borderId="0" xfId="0" applyNumberFormat="1" applyFont="1" applyFill="1" applyAlignment="1">
      <alignment horizontal="left" vertical="center" indent="1"/>
    </xf>
    <xf numFmtId="49" fontId="8" fillId="3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" fontId="6" fillId="3" borderId="15" xfId="0" applyNumberFormat="1" applyFont="1" applyFill="1" applyBorder="1" applyAlignment="1">
      <alignment horizontal="center" vertical="center"/>
    </xf>
    <xf numFmtId="1" fontId="6" fillId="3" borderId="16" xfId="0" applyNumberFormat="1" applyFont="1" applyFill="1" applyBorder="1" applyAlignment="1">
      <alignment horizontal="center" vertical="center"/>
    </xf>
    <xf numFmtId="1" fontId="6" fillId="3" borderId="13" xfId="0" applyNumberFormat="1" applyFont="1" applyFill="1" applyBorder="1" applyAlignment="1">
      <alignment horizontal="center" vertical="center"/>
    </xf>
    <xf numFmtId="1" fontId="6" fillId="3" borderId="18" xfId="0" applyNumberFormat="1" applyFont="1" applyFill="1" applyBorder="1" applyAlignment="1">
      <alignment horizontal="center" vertical="center"/>
    </xf>
    <xf numFmtId="0" fontId="5" fillId="3" borderId="13" xfId="0" applyFont="1" applyFill="1" applyBorder="1" applyAlignment="1">
      <alignment horizontal="center" vertical="center"/>
    </xf>
    <xf numFmtId="49" fontId="8" fillId="3" borderId="15" xfId="0" applyNumberFormat="1" applyFont="1" applyFill="1" applyBorder="1" applyAlignment="1">
      <alignment horizontal="left" vertical="center" indent="1"/>
    </xf>
    <xf numFmtId="49" fontId="8" fillId="3" borderId="15" xfId="0" applyNumberFormat="1" applyFont="1" applyFill="1" applyBorder="1" applyAlignment="1">
      <alignment horizontal="right" vertical="center" indent="1"/>
    </xf>
    <xf numFmtId="49" fontId="8" fillId="3" borderId="13" xfId="0" applyNumberFormat="1" applyFont="1" applyFill="1" applyBorder="1" applyAlignment="1">
      <alignment horizontal="right" vertical="center" indent="1"/>
    </xf>
    <xf numFmtId="49" fontId="8" fillId="3" borderId="20" xfId="0" applyNumberFormat="1" applyFont="1" applyFill="1" applyBorder="1" applyAlignment="1">
      <alignment horizontal="right" vertical="center" indent="1"/>
    </xf>
    <xf numFmtId="0" fontId="0" fillId="0" borderId="54" xfId="0" applyBorder="1" applyAlignment="1">
      <alignment horizontal="center" vertical="center"/>
    </xf>
    <xf numFmtId="0" fontId="0" fillId="0" borderId="56" xfId="0" applyBorder="1" applyAlignment="1">
      <alignment horizontal="center" vertical="center"/>
    </xf>
    <xf numFmtId="1" fontId="6" fillId="3" borderId="27" xfId="0" applyNumberFormat="1" applyFont="1" applyFill="1" applyBorder="1" applyAlignment="1">
      <alignment horizontal="center" vertical="center"/>
    </xf>
    <xf numFmtId="49" fontId="6" fillId="3" borderId="26" xfId="0" applyNumberFormat="1" applyFont="1" applyFill="1" applyBorder="1" applyAlignment="1">
      <alignment horizontal="center" vertical="center"/>
    </xf>
    <xf numFmtId="0" fontId="9" fillId="3" borderId="26" xfId="0" applyFont="1" applyFill="1" applyBorder="1" applyAlignment="1">
      <alignment horizontal="center" vertical="center"/>
    </xf>
    <xf numFmtId="49" fontId="8" fillId="3" borderId="26" xfId="0" applyNumberFormat="1" applyFont="1" applyFill="1" applyBorder="1" applyAlignment="1">
      <alignment horizontal="left" vertical="center" indent="1"/>
    </xf>
    <xf numFmtId="49" fontId="8" fillId="3" borderId="26" xfId="0" applyNumberFormat="1" applyFont="1" applyFill="1" applyBorder="1" applyAlignment="1">
      <alignment horizontal="right" vertical="center" indent="1"/>
    </xf>
    <xf numFmtId="0" fontId="9" fillId="3" borderId="57" xfId="0" applyFont="1" applyFill="1" applyBorder="1" applyAlignment="1">
      <alignment horizontal="center" vertical="center"/>
    </xf>
    <xf numFmtId="0" fontId="0" fillId="0" borderId="13" xfId="0" applyBorder="1" applyAlignment="1">
      <alignment horizontal="left" vertical="center" indent="1"/>
    </xf>
    <xf numFmtId="0" fontId="0" fillId="0" borderId="0" xfId="0" applyAlignment="1">
      <alignment horizontal="center" vertical="center"/>
    </xf>
    <xf numFmtId="0" fontId="5" fillId="0" borderId="7" xfId="0" applyFont="1" applyBorder="1"/>
    <xf numFmtId="0" fontId="5" fillId="0" borderId="0" xfId="0" applyFont="1"/>
    <xf numFmtId="0" fontId="19" fillId="0" borderId="14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9" fillId="0" borderId="36" xfId="0" applyFont="1" applyBorder="1" applyAlignment="1">
      <alignment horizontal="center" vertical="center" wrapText="1"/>
    </xf>
    <xf numFmtId="0" fontId="19" fillId="0" borderId="19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18" fillId="4" borderId="14" xfId="0" applyFont="1" applyFill="1" applyBorder="1" applyAlignment="1">
      <alignment horizontal="center" vertical="center" wrapText="1"/>
    </xf>
    <xf numFmtId="0" fontId="18" fillId="4" borderId="15" xfId="0" applyFont="1" applyFill="1" applyBorder="1" applyAlignment="1">
      <alignment horizontal="center" vertical="center" wrapText="1"/>
    </xf>
    <xf numFmtId="0" fontId="18" fillId="4" borderId="16" xfId="0" applyFont="1" applyFill="1" applyBorder="1" applyAlignment="1">
      <alignment horizontal="center" vertical="center" wrapText="1"/>
    </xf>
    <xf numFmtId="0" fontId="18" fillId="0" borderId="0" xfId="0" applyFont="1" applyAlignment="1">
      <alignment horizontal="center" vertical="center"/>
    </xf>
    <xf numFmtId="0" fontId="18" fillId="0" borderId="19" xfId="0" applyFont="1" applyBorder="1" applyAlignment="1">
      <alignment horizontal="center" vertical="center" wrapText="1"/>
    </xf>
    <xf numFmtId="0" fontId="18" fillId="0" borderId="20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5" fillId="0" borderId="5" xfId="0" applyFont="1" applyBorder="1"/>
    <xf numFmtId="0" fontId="5" fillId="0" borderId="11" xfId="0" applyFont="1" applyBorder="1"/>
    <xf numFmtId="0" fontId="5" fillId="0" borderId="12" xfId="0" applyFont="1" applyBorder="1"/>
    <xf numFmtId="0" fontId="18" fillId="2" borderId="44" xfId="0" applyFont="1" applyFill="1" applyBorder="1" applyAlignment="1">
      <alignment horizontal="center" vertical="center" wrapText="1"/>
    </xf>
    <xf numFmtId="0" fontId="13" fillId="6" borderId="22" xfId="0" applyFont="1" applyFill="1" applyBorder="1" applyAlignment="1">
      <alignment horizontal="center" vertical="center"/>
    </xf>
    <xf numFmtId="0" fontId="13" fillId="6" borderId="4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49" fontId="8" fillId="9" borderId="22" xfId="0" applyNumberFormat="1" applyFont="1" applyFill="1" applyBorder="1" applyAlignment="1">
      <alignment horizontal="center" vertical="center"/>
    </xf>
    <xf numFmtId="49" fontId="8" fillId="9" borderId="23" xfId="0" applyNumberFormat="1" applyFont="1" applyFill="1" applyBorder="1" applyAlignment="1">
      <alignment horizontal="center" vertical="center"/>
    </xf>
    <xf numFmtId="49" fontId="8" fillId="9" borderId="4" xfId="0" applyNumberFormat="1" applyFont="1" applyFill="1" applyBorder="1" applyAlignment="1">
      <alignment horizontal="center" vertical="center"/>
    </xf>
    <xf numFmtId="0" fontId="9" fillId="3" borderId="1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0" fillId="7" borderId="6" xfId="0" applyFill="1" applyBorder="1" applyAlignment="1">
      <alignment horizontal="center" vertical="center"/>
    </xf>
    <xf numFmtId="0" fontId="0" fillId="7" borderId="7" xfId="0" applyFill="1" applyBorder="1" applyAlignment="1">
      <alignment horizontal="center" vertical="center"/>
    </xf>
    <xf numFmtId="0" fontId="0" fillId="7" borderId="8" xfId="0" applyFill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3" borderId="10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5" xfId="0" applyFill="1" applyBorder="1" applyAlignment="1">
      <alignment horizontal="center"/>
    </xf>
    <xf numFmtId="0" fontId="0" fillId="0" borderId="37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49" fontId="8" fillId="9" borderId="6" xfId="0" applyNumberFormat="1" applyFont="1" applyFill="1" applyBorder="1" applyAlignment="1">
      <alignment horizontal="center" vertical="center"/>
    </xf>
    <xf numFmtId="49" fontId="8" fillId="9" borderId="7" xfId="0" applyNumberFormat="1" applyFont="1" applyFill="1" applyBorder="1" applyAlignment="1">
      <alignment horizontal="center" vertical="center"/>
    </xf>
    <xf numFmtId="49" fontId="8" fillId="9" borderId="8" xfId="0" applyNumberFormat="1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vertical="center"/>
    </xf>
    <xf numFmtId="0" fontId="0" fillId="3" borderId="6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8" xfId="0" applyFill="1" applyBorder="1" applyAlignment="1">
      <alignment horizontal="center"/>
    </xf>
    <xf numFmtId="0" fontId="0" fillId="0" borderId="42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3" xfId="0" applyBorder="1" applyAlignment="1">
      <alignment horizontal="center" vertical="center"/>
    </xf>
    <xf numFmtId="0" fontId="10" fillId="2" borderId="22" xfId="0" applyFont="1" applyFill="1" applyBorder="1" applyAlignment="1">
      <alignment horizontal="center" vertical="center"/>
    </xf>
    <xf numFmtId="0" fontId="10" fillId="2" borderId="23" xfId="0" applyFont="1" applyFill="1" applyBorder="1" applyAlignment="1">
      <alignment horizontal="center" vertical="center"/>
    </xf>
    <xf numFmtId="0" fontId="10" fillId="2" borderId="4" xfId="0" applyFont="1" applyFill="1" applyBorder="1" applyAlignment="1">
      <alignment horizontal="center" vertical="center"/>
    </xf>
    <xf numFmtId="0" fontId="2" fillId="8" borderId="22" xfId="0" applyFont="1" applyFill="1" applyBorder="1" applyAlignment="1">
      <alignment horizontal="center" vertical="center"/>
    </xf>
    <xf numFmtId="0" fontId="2" fillId="8" borderId="23" xfId="0" applyFont="1" applyFill="1" applyBorder="1" applyAlignment="1">
      <alignment horizontal="center" vertical="center"/>
    </xf>
    <xf numFmtId="0" fontId="2" fillId="8" borderId="4" xfId="0" applyFont="1" applyFill="1" applyBorder="1" applyAlignment="1">
      <alignment horizontal="center" vertical="center"/>
    </xf>
    <xf numFmtId="0" fontId="14" fillId="6" borderId="22" xfId="0" applyFont="1" applyFill="1" applyBorder="1" applyAlignment="1">
      <alignment horizontal="center" vertical="center"/>
    </xf>
    <xf numFmtId="0" fontId="14" fillId="6" borderId="23" xfId="0" applyFont="1" applyFill="1" applyBorder="1" applyAlignment="1">
      <alignment horizontal="center" vertical="center"/>
    </xf>
    <xf numFmtId="0" fontId="14" fillId="6" borderId="4" xfId="0" applyFont="1" applyFill="1" applyBorder="1" applyAlignment="1">
      <alignment horizontal="center" vertical="center"/>
    </xf>
    <xf numFmtId="0" fontId="18" fillId="11" borderId="22" xfId="0" applyFont="1" applyFill="1" applyBorder="1" applyAlignment="1">
      <alignment horizontal="center" vertical="center"/>
    </xf>
    <xf numFmtId="0" fontId="18" fillId="11" borderId="23" xfId="0" applyFont="1" applyFill="1" applyBorder="1" applyAlignment="1">
      <alignment horizontal="center" vertical="center"/>
    </xf>
    <xf numFmtId="0" fontId="18" fillId="11" borderId="4" xfId="0" applyFont="1" applyFill="1" applyBorder="1" applyAlignment="1">
      <alignment horizontal="center" vertical="center"/>
    </xf>
    <xf numFmtId="0" fontId="18" fillId="0" borderId="14" xfId="0" applyFont="1" applyBorder="1" applyAlignment="1">
      <alignment horizontal="left" vertical="center" indent="1"/>
    </xf>
    <xf numFmtId="0" fontId="18" fillId="0" borderId="15" xfId="0" applyFont="1" applyBorder="1" applyAlignment="1">
      <alignment horizontal="left" vertical="center" indent="1"/>
    </xf>
    <xf numFmtId="0" fontId="18" fillId="0" borderId="16" xfId="0" applyFont="1" applyBorder="1" applyAlignment="1">
      <alignment horizontal="left" vertical="center" indent="1"/>
    </xf>
    <xf numFmtId="0" fontId="18" fillId="0" borderId="6" xfId="0" applyFont="1" applyBorder="1" applyAlignment="1">
      <alignment horizontal="left" vertical="center" wrapText="1" indent="1"/>
    </xf>
    <xf numFmtId="0" fontId="18" fillId="0" borderId="8" xfId="0" applyFont="1" applyBorder="1" applyAlignment="1">
      <alignment horizontal="left" vertical="center" wrapText="1" indent="1"/>
    </xf>
    <xf numFmtId="0" fontId="18" fillId="0" borderId="9" xfId="0" applyFont="1" applyBorder="1" applyAlignment="1">
      <alignment horizontal="left" vertical="center" wrapText="1" indent="1"/>
    </xf>
    <xf numFmtId="0" fontId="18" fillId="0" borderId="5" xfId="0" applyFont="1" applyBorder="1" applyAlignment="1">
      <alignment horizontal="left" vertical="center" wrapText="1" indent="1"/>
    </xf>
    <xf numFmtId="0" fontId="20" fillId="0" borderId="9" xfId="0" applyFont="1" applyBorder="1" applyAlignment="1">
      <alignment horizontal="left" vertical="center" wrapText="1" indent="1"/>
    </xf>
    <xf numFmtId="0" fontId="20" fillId="0" borderId="5" xfId="0" applyFont="1" applyBorder="1" applyAlignment="1">
      <alignment horizontal="left" vertical="center" wrapText="1" indent="1"/>
    </xf>
    <xf numFmtId="0" fontId="20" fillId="0" borderId="10" xfId="0" applyFont="1" applyBorder="1" applyAlignment="1">
      <alignment horizontal="left" vertical="center" wrapText="1" indent="1"/>
    </xf>
    <xf numFmtId="0" fontId="20" fillId="0" borderId="12" xfId="0" applyFont="1" applyBorder="1" applyAlignment="1">
      <alignment horizontal="left" vertical="center" wrapText="1" indent="1"/>
    </xf>
    <xf numFmtId="0" fontId="18" fillId="0" borderId="14" xfId="0" applyFont="1" applyBorder="1" applyAlignment="1">
      <alignment horizontal="left" vertical="center" wrapText="1" indent="1"/>
    </xf>
    <xf numFmtId="0" fontId="18" fillId="0" borderId="15" xfId="0" applyFont="1" applyBorder="1" applyAlignment="1">
      <alignment horizontal="left" vertical="center" wrapText="1" indent="1"/>
    </xf>
    <xf numFmtId="0" fontId="18" fillId="0" borderId="16" xfId="0" applyFont="1" applyBorder="1" applyAlignment="1">
      <alignment horizontal="left" vertical="center" wrapText="1" indent="1"/>
    </xf>
    <xf numFmtId="0" fontId="19" fillId="0" borderId="48" xfId="0" applyFont="1" applyBorder="1" applyAlignment="1">
      <alignment horizontal="left" vertical="center" wrapText="1" indent="1"/>
    </xf>
    <xf numFmtId="0" fontId="19" fillId="0" borderId="49" xfId="0" applyFont="1" applyBorder="1" applyAlignment="1">
      <alignment horizontal="left" vertical="center" wrapText="1" indent="1"/>
    </xf>
    <xf numFmtId="0" fontId="19" fillId="0" borderId="50" xfId="0" applyFont="1" applyBorder="1" applyAlignment="1">
      <alignment horizontal="left" vertical="center" wrapText="1" indent="1"/>
    </xf>
    <xf numFmtId="0" fontId="19" fillId="0" borderId="51" xfId="0" applyFont="1" applyBorder="1" applyAlignment="1">
      <alignment horizontal="left" vertical="center" wrapText="1" indent="1"/>
    </xf>
    <xf numFmtId="0" fontId="19" fillId="0" borderId="52" xfId="0" applyFont="1" applyBorder="1" applyAlignment="1">
      <alignment horizontal="left" vertical="center" wrapText="1" indent="1"/>
    </xf>
    <xf numFmtId="0" fontId="19" fillId="0" borderId="53" xfId="0" applyFont="1" applyBorder="1" applyAlignment="1">
      <alignment horizontal="left" vertical="center" wrapText="1" indent="1"/>
    </xf>
    <xf numFmtId="0" fontId="5" fillId="0" borderId="22" xfId="0" applyFont="1" applyBorder="1" applyAlignment="1">
      <alignment horizontal="left" vertical="center" wrapText="1" indent="2"/>
    </xf>
    <xf numFmtId="0" fontId="5" fillId="0" borderId="23" xfId="0" applyFont="1" applyBorder="1" applyAlignment="1">
      <alignment horizontal="left" vertical="center" wrapText="1" indent="2"/>
    </xf>
    <xf numFmtId="0" fontId="5" fillId="0" borderId="4" xfId="0" applyFont="1" applyBorder="1" applyAlignment="1">
      <alignment horizontal="left" vertical="center" wrapText="1" indent="2"/>
    </xf>
    <xf numFmtId="0" fontId="18" fillId="11" borderId="6" xfId="0" applyFont="1" applyFill="1" applyBorder="1" applyAlignment="1">
      <alignment horizontal="center" vertical="center"/>
    </xf>
    <xf numFmtId="0" fontId="18" fillId="11" borderId="7" xfId="0" applyFont="1" applyFill="1" applyBorder="1" applyAlignment="1">
      <alignment horizontal="center" vertical="center"/>
    </xf>
    <xf numFmtId="0" fontId="18" fillId="11" borderId="8" xfId="0" applyFont="1" applyFill="1" applyBorder="1" applyAlignment="1">
      <alignment horizontal="center" vertical="center"/>
    </xf>
    <xf numFmtId="0" fontId="18" fillId="0" borderId="17" xfId="0" applyFont="1" applyBorder="1" applyAlignment="1">
      <alignment horizontal="left" vertical="center" indent="1"/>
    </xf>
    <xf numFmtId="0" fontId="18" fillId="0" borderId="13" xfId="0" applyFont="1" applyBorder="1" applyAlignment="1">
      <alignment horizontal="left" vertical="center" indent="1"/>
    </xf>
    <xf numFmtId="0" fontId="18" fillId="0" borderId="18" xfId="0" applyFont="1" applyBorder="1" applyAlignment="1">
      <alignment horizontal="left" vertical="center" indent="1"/>
    </xf>
    <xf numFmtId="0" fontId="5" fillId="0" borderId="1" xfId="0" applyFont="1" applyBorder="1" applyAlignment="1">
      <alignment horizontal="left" vertical="center" indent="1"/>
    </xf>
    <xf numFmtId="0" fontId="5" fillId="0" borderId="2" xfId="0" applyFont="1" applyBorder="1" applyAlignment="1">
      <alignment horizontal="left" vertical="center" indent="1"/>
    </xf>
    <xf numFmtId="0" fontId="5" fillId="0" borderId="54" xfId="0" applyFont="1" applyBorder="1" applyAlignment="1">
      <alignment horizontal="left" vertical="center" indent="1"/>
    </xf>
    <xf numFmtId="0" fontId="5" fillId="0" borderId="55" xfId="0" applyFont="1" applyBorder="1" applyAlignment="1">
      <alignment horizontal="left" vertical="center" indent="1"/>
    </xf>
    <xf numFmtId="0" fontId="5" fillId="0" borderId="55" xfId="0" applyFont="1" applyBorder="1" applyAlignment="1">
      <alignment horizontal="center" vertical="center"/>
    </xf>
    <xf numFmtId="0" fontId="5" fillId="0" borderId="56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0" borderId="2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0" xfId="0" applyFont="1" applyBorder="1" applyAlignment="1">
      <alignment horizontal="center" vertical="center"/>
    </xf>
    <xf numFmtId="0" fontId="15" fillId="0" borderId="10" xfId="0" applyFont="1" applyBorder="1" applyAlignment="1">
      <alignment horizontal="center" vertical="center"/>
    </xf>
    <xf numFmtId="0" fontId="15" fillId="0" borderId="11" xfId="0" applyFont="1" applyBorder="1" applyAlignment="1">
      <alignment horizontal="center" vertical="center"/>
    </xf>
    <xf numFmtId="0" fontId="15" fillId="0" borderId="12" xfId="0" applyFont="1" applyBorder="1" applyAlignment="1">
      <alignment horizontal="center" vertical="center"/>
    </xf>
    <xf numFmtId="0" fontId="15" fillId="6" borderId="22" xfId="0" applyFont="1" applyFill="1" applyBorder="1" applyAlignment="1">
      <alignment horizontal="center" vertical="center"/>
    </xf>
    <xf numFmtId="0" fontId="15" fillId="6" borderId="23" xfId="0" applyFont="1" applyFill="1" applyBorder="1" applyAlignment="1">
      <alignment horizontal="center" vertical="center"/>
    </xf>
    <xf numFmtId="0" fontId="15" fillId="6" borderId="4" xfId="0" applyFont="1" applyFill="1" applyBorder="1" applyAlignment="1">
      <alignment horizontal="center" vertical="center"/>
    </xf>
    <xf numFmtId="0" fontId="19" fillId="0" borderId="45" xfId="0" applyFont="1" applyBorder="1" applyAlignment="1">
      <alignment horizontal="left" vertical="center" wrapText="1" indent="1"/>
    </xf>
    <xf numFmtId="0" fontId="19" fillId="0" borderId="46" xfId="0" applyFont="1" applyBorder="1" applyAlignment="1">
      <alignment horizontal="left" vertical="center" wrapText="1" indent="1"/>
    </xf>
    <xf numFmtId="0" fontId="19" fillId="0" borderId="47" xfId="0" applyFont="1" applyBorder="1" applyAlignment="1">
      <alignment horizontal="left" vertical="center" wrapText="1" indent="1"/>
    </xf>
    <xf numFmtId="0" fontId="18" fillId="0" borderId="14" xfId="0" applyFont="1" applyBorder="1" applyAlignment="1">
      <alignment horizontal="left" vertical="center" wrapText="1" indent="2"/>
    </xf>
    <xf numFmtId="0" fontId="18" fillId="0" borderId="15" xfId="0" applyFont="1" applyBorder="1" applyAlignment="1">
      <alignment horizontal="left" vertical="center" wrapText="1" indent="2"/>
    </xf>
    <xf numFmtId="0" fontId="18" fillId="0" borderId="15" xfId="0" applyFont="1" applyBorder="1" applyAlignment="1">
      <alignment horizontal="center" vertical="center" wrapText="1"/>
    </xf>
    <xf numFmtId="0" fontId="18" fillId="0" borderId="16" xfId="0" applyFont="1" applyBorder="1" applyAlignment="1">
      <alignment horizontal="center" vertical="center" wrapText="1"/>
    </xf>
    <xf numFmtId="0" fontId="19" fillId="4" borderId="22" xfId="0" applyFont="1" applyFill="1" applyBorder="1" applyAlignment="1">
      <alignment horizontal="center" vertical="center"/>
    </xf>
    <xf numFmtId="0" fontId="19" fillId="4" borderId="23" xfId="0" applyFont="1" applyFill="1" applyBorder="1" applyAlignment="1">
      <alignment horizontal="center" vertical="center"/>
    </xf>
    <xf numFmtId="0" fontId="19" fillId="4" borderId="4" xfId="0" applyFont="1" applyFill="1" applyBorder="1" applyAlignment="1">
      <alignment horizontal="center" vertical="center"/>
    </xf>
    <xf numFmtId="0" fontId="18" fillId="0" borderId="6" xfId="0" applyFont="1" applyBorder="1" applyAlignment="1">
      <alignment horizontal="left" vertical="center" indent="1"/>
    </xf>
    <xf numFmtId="0" fontId="18" fillId="0" borderId="7" xfId="0" applyFont="1" applyBorder="1" applyAlignment="1">
      <alignment horizontal="left" vertical="center" indent="1"/>
    </xf>
    <xf numFmtId="0" fontId="18" fillId="0" borderId="8" xfId="0" applyFont="1" applyBorder="1" applyAlignment="1">
      <alignment horizontal="left" vertical="center" indent="1"/>
    </xf>
    <xf numFmtId="0" fontId="18" fillId="0" borderId="9" xfId="0" applyFont="1" applyBorder="1" applyAlignment="1">
      <alignment horizontal="left" vertical="center" indent="1"/>
    </xf>
    <xf numFmtId="0" fontId="18" fillId="0" borderId="0" xfId="0" applyFont="1" applyAlignment="1">
      <alignment horizontal="left" vertical="center" indent="1"/>
    </xf>
    <xf numFmtId="0" fontId="18" fillId="0" borderId="5" xfId="0" applyFont="1" applyBorder="1" applyAlignment="1">
      <alignment horizontal="left" vertical="center" indent="1"/>
    </xf>
    <xf numFmtId="0" fontId="18" fillId="0" borderId="10" xfId="0" applyFont="1" applyBorder="1" applyAlignment="1">
      <alignment horizontal="left" vertical="center" indent="1"/>
    </xf>
    <xf numFmtId="0" fontId="18" fillId="0" borderId="11" xfId="0" applyFont="1" applyBorder="1" applyAlignment="1">
      <alignment horizontal="left" vertical="center" indent="1"/>
    </xf>
    <xf numFmtId="0" fontId="18" fillId="0" borderId="12" xfId="0" applyFont="1" applyBorder="1" applyAlignment="1">
      <alignment horizontal="left" vertical="center" indent="1"/>
    </xf>
    <xf numFmtId="0" fontId="18" fillId="0" borderId="19" xfId="0" applyFont="1" applyBorder="1" applyAlignment="1">
      <alignment horizontal="left" vertical="center" indent="1"/>
    </xf>
    <xf numFmtId="0" fontId="18" fillId="0" borderId="20" xfId="0" applyFont="1" applyBorder="1" applyAlignment="1">
      <alignment horizontal="left" vertical="center" indent="1"/>
    </xf>
    <xf numFmtId="0" fontId="18" fillId="0" borderId="21" xfId="0" applyFont="1" applyBorder="1" applyAlignment="1">
      <alignment horizontal="left" vertical="center" indent="1"/>
    </xf>
    <xf numFmtId="0" fontId="18" fillId="5" borderId="45" xfId="0" applyFont="1" applyFill="1" applyBorder="1" applyAlignment="1">
      <alignment horizontal="center" vertical="center" wrapText="1"/>
    </xf>
    <xf numFmtId="0" fontId="18" fillId="5" borderId="46" xfId="0" applyFont="1" applyFill="1" applyBorder="1" applyAlignment="1">
      <alignment horizontal="center" vertical="center" wrapText="1"/>
    </xf>
    <xf numFmtId="0" fontId="18" fillId="5" borderId="47" xfId="0" applyFont="1" applyFill="1" applyBorder="1" applyAlignment="1">
      <alignment horizontal="center" vertical="center" wrapText="1"/>
    </xf>
    <xf numFmtId="8" fontId="18" fillId="0" borderId="51" xfId="0" applyNumberFormat="1" applyFont="1" applyBorder="1" applyAlignment="1">
      <alignment horizontal="center" vertical="center" wrapText="1"/>
    </xf>
    <xf numFmtId="8" fontId="18" fillId="0" borderId="52" xfId="0" applyNumberFormat="1" applyFont="1" applyBorder="1" applyAlignment="1">
      <alignment horizontal="center" vertical="center" wrapText="1"/>
    </xf>
    <xf numFmtId="8" fontId="18" fillId="0" borderId="53" xfId="0" applyNumberFormat="1" applyFont="1" applyBorder="1" applyAlignment="1">
      <alignment horizontal="center" vertical="center" wrapText="1"/>
    </xf>
    <xf numFmtId="49" fontId="8" fillId="10" borderId="22" xfId="0" applyNumberFormat="1" applyFont="1" applyFill="1" applyBorder="1" applyAlignment="1">
      <alignment horizontal="center" vertical="center" wrapText="1"/>
    </xf>
    <xf numFmtId="49" fontId="8" fillId="10" borderId="23" xfId="0" applyNumberFormat="1" applyFont="1" applyFill="1" applyBorder="1" applyAlignment="1">
      <alignment horizontal="center" vertical="center" wrapText="1"/>
    </xf>
    <xf numFmtId="49" fontId="8" fillId="10" borderId="4" xfId="0" applyNumberFormat="1" applyFont="1" applyFill="1" applyBorder="1" applyAlignment="1">
      <alignment horizontal="center" vertical="center" wrapText="1"/>
    </xf>
    <xf numFmtId="49" fontId="11" fillId="3" borderId="6" xfId="0" applyNumberFormat="1" applyFont="1" applyFill="1" applyBorder="1" applyAlignment="1">
      <alignment horizontal="center" vertical="center"/>
    </xf>
    <xf numFmtId="49" fontId="11" fillId="3" borderId="9" xfId="0" applyNumberFormat="1" applyFont="1" applyFill="1" applyBorder="1" applyAlignment="1">
      <alignment horizontal="center" vertical="center"/>
    </xf>
    <xf numFmtId="49" fontId="11" fillId="3" borderId="10" xfId="0" applyNumberFormat="1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/>
    </xf>
    <xf numFmtId="0" fontId="5" fillId="3" borderId="8" xfId="0" applyFont="1" applyFill="1" applyBorder="1" applyAlignment="1">
      <alignment horizontal="center"/>
    </xf>
    <xf numFmtId="0" fontId="5" fillId="3" borderId="5" xfId="0" applyFont="1" applyFill="1" applyBorder="1" applyAlignment="1">
      <alignment horizontal="center"/>
    </xf>
    <xf numFmtId="0" fontId="5" fillId="3" borderId="12" xfId="0" applyFont="1" applyFill="1" applyBorder="1" applyAlignment="1">
      <alignment horizontal="center"/>
    </xf>
    <xf numFmtId="49" fontId="12" fillId="3" borderId="0" xfId="0" applyNumberFormat="1" applyFont="1" applyFill="1" applyAlignment="1">
      <alignment horizontal="center" vertical="center"/>
    </xf>
    <xf numFmtId="49" fontId="8" fillId="10" borderId="6" xfId="0" applyNumberFormat="1" applyFont="1" applyFill="1" applyBorder="1" applyAlignment="1">
      <alignment horizontal="center" vertical="center" wrapText="1"/>
    </xf>
    <xf numFmtId="49" fontId="8" fillId="10" borderId="7" xfId="0" applyNumberFormat="1" applyFont="1" applyFill="1" applyBorder="1" applyAlignment="1">
      <alignment horizontal="center" vertical="center" wrapText="1"/>
    </xf>
    <xf numFmtId="49" fontId="8" fillId="10" borderId="8" xfId="0" applyNumberFormat="1" applyFont="1" applyFill="1" applyBorder="1" applyAlignment="1">
      <alignment horizontal="center" vertical="center" wrapText="1"/>
    </xf>
    <xf numFmtId="0" fontId="9" fillId="3" borderId="29" xfId="0" applyFont="1" applyFill="1" applyBorder="1" applyAlignment="1">
      <alignment horizontal="center"/>
    </xf>
    <xf numFmtId="0" fontId="9" fillId="3" borderId="0" xfId="0" applyFont="1" applyFill="1" applyAlignment="1">
      <alignment horizontal="center"/>
    </xf>
    <xf numFmtId="0" fontId="7" fillId="3" borderId="0" xfId="0" applyFont="1" applyFill="1" applyAlignment="1">
      <alignment horizontal="center" vertical="center"/>
    </xf>
    <xf numFmtId="0" fontId="5" fillId="3" borderId="11" xfId="0" applyFont="1" applyFill="1" applyBorder="1" applyAlignment="1">
      <alignment horizontal="center"/>
    </xf>
    <xf numFmtId="0" fontId="16" fillId="12" borderId="6" xfId="0" applyFont="1" applyFill="1" applyBorder="1" applyAlignment="1">
      <alignment horizontal="center" vertical="center"/>
    </xf>
    <xf numFmtId="0" fontId="16" fillId="12" borderId="7" xfId="0" applyFont="1" applyFill="1" applyBorder="1" applyAlignment="1">
      <alignment horizontal="center" vertical="center"/>
    </xf>
    <xf numFmtId="0" fontId="16" fillId="12" borderId="8" xfId="0" applyFont="1" applyFill="1" applyBorder="1" applyAlignment="1">
      <alignment horizontal="center" vertical="center"/>
    </xf>
    <xf numFmtId="0" fontId="24" fillId="12" borderId="10" xfId="0" applyFont="1" applyFill="1" applyBorder="1" applyAlignment="1">
      <alignment horizontal="center" vertical="center"/>
    </xf>
    <xf numFmtId="0" fontId="24" fillId="12" borderId="11" xfId="0" applyFont="1" applyFill="1" applyBorder="1" applyAlignment="1">
      <alignment horizontal="center" vertical="center"/>
    </xf>
    <xf numFmtId="0" fontId="24" fillId="12" borderId="12" xfId="0" applyFont="1" applyFill="1" applyBorder="1" applyAlignment="1">
      <alignment horizontal="center" vertical="center"/>
    </xf>
    <xf numFmtId="0" fontId="25" fillId="12" borderId="6" xfId="0" applyFont="1" applyFill="1" applyBorder="1" applyAlignment="1">
      <alignment horizontal="center" vertical="center"/>
    </xf>
    <xf numFmtId="0" fontId="25" fillId="12" borderId="7" xfId="0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6" fillId="12" borderId="10" xfId="0" applyFont="1" applyFill="1" applyBorder="1" applyAlignment="1">
      <alignment horizontal="center" vertical="center"/>
    </xf>
    <xf numFmtId="0" fontId="26" fillId="12" borderId="11" xfId="0" applyFont="1" applyFill="1" applyBorder="1" applyAlignment="1">
      <alignment horizontal="center" vertical="center"/>
    </xf>
    <xf numFmtId="0" fontId="26" fillId="12" borderId="12" xfId="0" applyFont="1" applyFill="1" applyBorder="1" applyAlignment="1">
      <alignment horizontal="center" vertical="center"/>
    </xf>
    <xf numFmtId="0" fontId="16" fillId="13" borderId="22" xfId="0" applyFont="1" applyFill="1" applyBorder="1" applyAlignment="1">
      <alignment horizontal="center" vertical="center"/>
    </xf>
    <xf numFmtId="0" fontId="16" fillId="13" borderId="23" xfId="0" applyFont="1" applyFill="1" applyBorder="1" applyAlignment="1">
      <alignment horizontal="center" vertical="center"/>
    </xf>
    <xf numFmtId="0" fontId="16" fillId="13" borderId="4" xfId="0" applyFont="1" applyFill="1" applyBorder="1" applyAlignment="1">
      <alignment horizontal="center" vertical="center"/>
    </xf>
    <xf numFmtId="0" fontId="23" fillId="13" borderId="58" xfId="0" applyFont="1" applyFill="1" applyBorder="1" applyAlignment="1">
      <alignment horizontal="center" vertical="center"/>
    </xf>
    <xf numFmtId="0" fontId="8" fillId="6" borderId="39" xfId="0" applyFont="1" applyFill="1" applyBorder="1" applyAlignment="1">
      <alignment horizontal="center" vertical="center"/>
    </xf>
    <xf numFmtId="0" fontId="8" fillId="6" borderId="40" xfId="0" applyFont="1" applyFill="1" applyBorder="1" applyAlignment="1">
      <alignment horizontal="center" vertical="center"/>
    </xf>
    <xf numFmtId="0" fontId="8" fillId="6" borderId="41" xfId="0" applyFont="1" applyFill="1" applyBorder="1" applyAlignment="1">
      <alignment horizontal="center" vertical="center"/>
    </xf>
    <xf numFmtId="0" fontId="0" fillId="13" borderId="13" xfId="0" applyFill="1" applyBorder="1" applyAlignment="1">
      <alignment horizontal="left" vertical="center" indent="1"/>
    </xf>
    <xf numFmtId="0" fontId="9" fillId="3" borderId="13" xfId="0" applyFont="1" applyFill="1" applyBorder="1" applyAlignment="1">
      <alignment horizontal="center" vertical="center"/>
    </xf>
    <xf numFmtId="0" fontId="9" fillId="3" borderId="14" xfId="0" applyFont="1" applyFill="1" applyBorder="1" applyAlignment="1">
      <alignment horizontal="center" vertical="center"/>
    </xf>
    <xf numFmtId="0" fontId="0" fillId="13" borderId="15" xfId="0" applyFill="1" applyBorder="1" applyAlignment="1">
      <alignment horizontal="left" vertical="center" indent="1"/>
    </xf>
    <xf numFmtId="0" fontId="9" fillId="3" borderId="15" xfId="0" applyFont="1" applyFill="1" applyBorder="1" applyAlignment="1">
      <alignment horizontal="center" vertical="center"/>
    </xf>
    <xf numFmtId="0" fontId="0" fillId="13" borderId="20" xfId="0" applyFill="1" applyBorder="1" applyAlignment="1">
      <alignment horizontal="left" vertical="center" indent="1"/>
    </xf>
    <xf numFmtId="0" fontId="9" fillId="3" borderId="20" xfId="0" applyFont="1" applyFill="1" applyBorder="1" applyAlignment="1">
      <alignment horizontal="center" vertical="center"/>
    </xf>
  </cellXfs>
  <cellStyles count="2">
    <cellStyle name="Normal" xfId="0" builtinId="0"/>
    <cellStyle name="Vírgula 2" xfId="1" xr:uid="{F148B815-FFD2-4B40-97DE-B882CA3A15FD}"/>
  </cellStyles>
  <dxfs count="0"/>
  <tableStyles count="0" defaultTableStyle="TableStyleMedium2" defaultPivotStyle="PivotStyleLight16"/>
  <colors>
    <mruColors>
      <color rgb="FFF1DDE7"/>
      <color rgb="FFFFCCFF"/>
      <color rgb="FF000099"/>
      <color rgb="FFFF5050"/>
      <color rgb="FFCC00FF"/>
      <color rgb="FFFFFF99"/>
      <color rgb="FFFF33CC"/>
      <color rgb="FFCC9900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44450</xdr:colOff>
      <xdr:row>1</xdr:row>
      <xdr:rowOff>38100</xdr:rowOff>
    </xdr:from>
    <xdr:to>
      <xdr:col>1</xdr:col>
      <xdr:colOff>745874</xdr:colOff>
      <xdr:row>2</xdr:row>
      <xdr:rowOff>336550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FF58BF84-8710-467B-8FD5-E1C09612D3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100" y="158750"/>
          <a:ext cx="701424" cy="742950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31750</xdr:colOff>
      <xdr:row>1</xdr:row>
      <xdr:rowOff>40343</xdr:rowOff>
    </xdr:from>
    <xdr:to>
      <xdr:col>10</xdr:col>
      <xdr:colOff>768415</xdr:colOff>
      <xdr:row>2</xdr:row>
      <xdr:rowOff>343431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0FA9EE9D-96BB-4F5D-A090-BA03FB540EB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10450" y="160993"/>
          <a:ext cx="736665" cy="74758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0</xdr:colOff>
      <xdr:row>4</xdr:row>
      <xdr:rowOff>0</xdr:rowOff>
    </xdr:from>
    <xdr:to>
      <xdr:col>18</xdr:col>
      <xdr:colOff>304800</xdr:colOff>
      <xdr:row>4</xdr:row>
      <xdr:rowOff>304800</xdr:rowOff>
    </xdr:to>
    <xdr:sp macro="" textlink="">
      <xdr:nvSpPr>
        <xdr:cNvPr id="2" name="AutoShape 1">
          <a:extLst>
            <a:ext uri="{FF2B5EF4-FFF2-40B4-BE49-F238E27FC236}">
              <a16:creationId xmlns:a16="http://schemas.microsoft.com/office/drawing/2014/main" id="{D81B4BB5-3F11-42A8-A2C6-DE4690E1995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767FC5CC-C783-463C-B066-9FA2D2F344F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4" name="AutoShape 1">
          <a:extLst>
            <a:ext uri="{FF2B5EF4-FFF2-40B4-BE49-F238E27FC236}">
              <a16:creationId xmlns:a16="http://schemas.microsoft.com/office/drawing/2014/main" id="{DCDCDD08-1337-40BE-96EA-AE3A060CACD2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5" name="AutoShape 1">
          <a:extLst>
            <a:ext uri="{FF2B5EF4-FFF2-40B4-BE49-F238E27FC236}">
              <a16:creationId xmlns:a16="http://schemas.microsoft.com/office/drawing/2014/main" id="{A6116D94-9CA6-4898-A1A2-757FDF871DC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6" name="AutoShape 1">
          <a:extLst>
            <a:ext uri="{FF2B5EF4-FFF2-40B4-BE49-F238E27FC236}">
              <a16:creationId xmlns:a16="http://schemas.microsoft.com/office/drawing/2014/main" id="{CD608AF7-04C7-4236-B26E-E800A8B9131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7" name="AutoShape 1">
          <a:extLst>
            <a:ext uri="{FF2B5EF4-FFF2-40B4-BE49-F238E27FC236}">
              <a16:creationId xmlns:a16="http://schemas.microsoft.com/office/drawing/2014/main" id="{D97AAB52-4F8D-4575-B17F-57DA683E244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8" name="AutoShape 1">
          <a:extLst>
            <a:ext uri="{FF2B5EF4-FFF2-40B4-BE49-F238E27FC236}">
              <a16:creationId xmlns:a16="http://schemas.microsoft.com/office/drawing/2014/main" id="{87BFECF6-934B-47C4-BA81-9BC98C82FBC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9" name="AutoShape 1">
          <a:extLst>
            <a:ext uri="{FF2B5EF4-FFF2-40B4-BE49-F238E27FC236}">
              <a16:creationId xmlns:a16="http://schemas.microsoft.com/office/drawing/2014/main" id="{A23A783B-C1E4-4BEA-8121-33DEF1624EFB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10" name="AutoShape 1">
          <a:extLst>
            <a:ext uri="{FF2B5EF4-FFF2-40B4-BE49-F238E27FC236}">
              <a16:creationId xmlns:a16="http://schemas.microsoft.com/office/drawing/2014/main" id="{987525F2-C416-4D73-B854-579DCE383B7F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11" name="AutoShape 1">
          <a:extLst>
            <a:ext uri="{FF2B5EF4-FFF2-40B4-BE49-F238E27FC236}">
              <a16:creationId xmlns:a16="http://schemas.microsoft.com/office/drawing/2014/main" id="{4E2B0766-C005-4165-8B52-8EA8EDA7B27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12" name="AutoShape 1">
          <a:extLst>
            <a:ext uri="{FF2B5EF4-FFF2-40B4-BE49-F238E27FC236}">
              <a16:creationId xmlns:a16="http://schemas.microsoft.com/office/drawing/2014/main" id="{6CACF4F1-17BD-479C-8697-60C2FF26E072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13" name="AutoShape 1">
          <a:extLst>
            <a:ext uri="{FF2B5EF4-FFF2-40B4-BE49-F238E27FC236}">
              <a16:creationId xmlns:a16="http://schemas.microsoft.com/office/drawing/2014/main" id="{55BC1BA2-298B-49C6-B384-B743B3C2BCB9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14" name="AutoShape 1">
          <a:extLst>
            <a:ext uri="{FF2B5EF4-FFF2-40B4-BE49-F238E27FC236}">
              <a16:creationId xmlns:a16="http://schemas.microsoft.com/office/drawing/2014/main" id="{EAE95563-FCEC-479D-B0AB-16D88A67DE26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15" name="AutoShape 1">
          <a:extLst>
            <a:ext uri="{FF2B5EF4-FFF2-40B4-BE49-F238E27FC236}">
              <a16:creationId xmlns:a16="http://schemas.microsoft.com/office/drawing/2014/main" id="{D60626E4-D15C-407E-82C3-E591B30D99BB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16" name="AutoShape 1">
          <a:extLst>
            <a:ext uri="{FF2B5EF4-FFF2-40B4-BE49-F238E27FC236}">
              <a16:creationId xmlns:a16="http://schemas.microsoft.com/office/drawing/2014/main" id="{5555DF1F-3391-4040-99F0-FB304F66DB3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17" name="AutoShape 1">
          <a:extLst>
            <a:ext uri="{FF2B5EF4-FFF2-40B4-BE49-F238E27FC236}">
              <a16:creationId xmlns:a16="http://schemas.microsoft.com/office/drawing/2014/main" id="{B88BD87D-1C1C-42C0-A1E3-F5E613F07E6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18" name="AutoShape 1">
          <a:extLst>
            <a:ext uri="{FF2B5EF4-FFF2-40B4-BE49-F238E27FC236}">
              <a16:creationId xmlns:a16="http://schemas.microsoft.com/office/drawing/2014/main" id="{50C80C22-528F-48AD-A013-BA63CA6DEC73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19" name="AutoShape 1">
          <a:extLst>
            <a:ext uri="{FF2B5EF4-FFF2-40B4-BE49-F238E27FC236}">
              <a16:creationId xmlns:a16="http://schemas.microsoft.com/office/drawing/2014/main" id="{DB01E4D9-C202-4A83-8F1C-18091D783CB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20" name="AutoShape 1">
          <a:extLst>
            <a:ext uri="{FF2B5EF4-FFF2-40B4-BE49-F238E27FC236}">
              <a16:creationId xmlns:a16="http://schemas.microsoft.com/office/drawing/2014/main" id="{AEDC6E04-8134-470A-B9A1-D57BADEA142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21" name="AutoShape 1">
          <a:extLst>
            <a:ext uri="{FF2B5EF4-FFF2-40B4-BE49-F238E27FC236}">
              <a16:creationId xmlns:a16="http://schemas.microsoft.com/office/drawing/2014/main" id="{79D70AAB-6A9D-486B-BB86-A7D447F1436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22" name="AutoShape 1">
          <a:extLst>
            <a:ext uri="{FF2B5EF4-FFF2-40B4-BE49-F238E27FC236}">
              <a16:creationId xmlns:a16="http://schemas.microsoft.com/office/drawing/2014/main" id="{12FC2576-01AD-4F8E-AFC4-B05A22704F7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4</xdr:row>
      <xdr:rowOff>0</xdr:rowOff>
    </xdr:from>
    <xdr:ext cx="304800" cy="304800"/>
    <xdr:sp macro="" textlink="">
      <xdr:nvSpPr>
        <xdr:cNvPr id="23" name="AutoShape 1">
          <a:extLst>
            <a:ext uri="{FF2B5EF4-FFF2-40B4-BE49-F238E27FC236}">
              <a16:creationId xmlns:a16="http://schemas.microsoft.com/office/drawing/2014/main" id="{4869232E-A5F1-4F42-9B6D-7F64AD14AFB0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003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25" name="AutoShape 1">
          <a:extLst>
            <a:ext uri="{FF2B5EF4-FFF2-40B4-BE49-F238E27FC236}">
              <a16:creationId xmlns:a16="http://schemas.microsoft.com/office/drawing/2014/main" id="{9A102D9B-95F7-41D0-8903-58F765818698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26" name="AutoShape 1">
          <a:extLst>
            <a:ext uri="{FF2B5EF4-FFF2-40B4-BE49-F238E27FC236}">
              <a16:creationId xmlns:a16="http://schemas.microsoft.com/office/drawing/2014/main" id="{9DB145C7-BD77-41D7-866A-DCC969179C0C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27" name="AutoShape 1">
          <a:extLst>
            <a:ext uri="{FF2B5EF4-FFF2-40B4-BE49-F238E27FC236}">
              <a16:creationId xmlns:a16="http://schemas.microsoft.com/office/drawing/2014/main" id="{5C61EACE-7E6C-4819-BBD6-CF6CC19522A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18</xdr:col>
      <xdr:colOff>0</xdr:colOff>
      <xdr:row>3</xdr:row>
      <xdr:rowOff>0</xdr:rowOff>
    </xdr:from>
    <xdr:ext cx="304800" cy="304800"/>
    <xdr:sp macro="" textlink="">
      <xdr:nvSpPr>
        <xdr:cNvPr id="28" name="AutoShape 1">
          <a:extLst>
            <a:ext uri="{FF2B5EF4-FFF2-40B4-BE49-F238E27FC236}">
              <a16:creationId xmlns:a16="http://schemas.microsoft.com/office/drawing/2014/main" id="{D12DACA3-513D-4CAA-ADBC-FEDA79BDC5CD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885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18</xdr:col>
      <xdr:colOff>0</xdr:colOff>
      <xdr:row>4</xdr:row>
      <xdr:rowOff>47625</xdr:rowOff>
    </xdr:from>
    <xdr:to>
      <xdr:col>19</xdr:col>
      <xdr:colOff>235883</xdr:colOff>
      <xdr:row>4</xdr:row>
      <xdr:rowOff>338893</xdr:rowOff>
    </xdr:to>
    <xdr:sp macro="" textlink="">
      <xdr:nvSpPr>
        <xdr:cNvPr id="29" name="AutoShape 1" descr="Flor rosa Vetor 52 Vetor para download gratuito | FreeImages">
          <a:extLst>
            <a:ext uri="{FF2B5EF4-FFF2-40B4-BE49-F238E27FC236}">
              <a16:creationId xmlns:a16="http://schemas.microsoft.com/office/drawing/2014/main" id="{B1967021-5D5F-430D-9F23-1F4971A9F217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2447925"/>
          <a:ext cx="845483" cy="29126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1</xdr:row>
      <xdr:rowOff>304800</xdr:rowOff>
    </xdr:to>
    <xdr:sp macro="" textlink="">
      <xdr:nvSpPr>
        <xdr:cNvPr id="30" name="AutoShape 1">
          <a:extLst>
            <a:ext uri="{FF2B5EF4-FFF2-40B4-BE49-F238E27FC236}">
              <a16:creationId xmlns:a16="http://schemas.microsoft.com/office/drawing/2014/main" id="{1C7AF37D-DA97-4642-B094-80A49F887A06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31" name="AutoShape 1">
          <a:extLst>
            <a:ext uri="{FF2B5EF4-FFF2-40B4-BE49-F238E27FC236}">
              <a16:creationId xmlns:a16="http://schemas.microsoft.com/office/drawing/2014/main" id="{A9CD1C12-974B-4F51-9698-F8403409236E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1</xdr:row>
      <xdr:rowOff>304800</xdr:rowOff>
    </xdr:to>
    <xdr:sp macro="" textlink="">
      <xdr:nvSpPr>
        <xdr:cNvPr id="32" name="AutoShape 1">
          <a:extLst>
            <a:ext uri="{FF2B5EF4-FFF2-40B4-BE49-F238E27FC236}">
              <a16:creationId xmlns:a16="http://schemas.microsoft.com/office/drawing/2014/main" id="{BFDFFD88-B736-4755-BE89-EBC75B8F7DF4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33" name="AutoShape 1">
          <a:extLst>
            <a:ext uri="{FF2B5EF4-FFF2-40B4-BE49-F238E27FC236}">
              <a16:creationId xmlns:a16="http://schemas.microsoft.com/office/drawing/2014/main" id="{0B6D9CBF-7F0B-4A23-8B62-1E7DFDD1464C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18</xdr:col>
      <xdr:colOff>0</xdr:colOff>
      <xdr:row>1</xdr:row>
      <xdr:rowOff>0</xdr:rowOff>
    </xdr:from>
    <xdr:to>
      <xdr:col>18</xdr:col>
      <xdr:colOff>304800</xdr:colOff>
      <xdr:row>1</xdr:row>
      <xdr:rowOff>304800</xdr:rowOff>
    </xdr:to>
    <xdr:sp macro="" textlink="">
      <xdr:nvSpPr>
        <xdr:cNvPr id="34" name="AutoShape 1">
          <a:extLst>
            <a:ext uri="{FF2B5EF4-FFF2-40B4-BE49-F238E27FC236}">
              <a16:creationId xmlns:a16="http://schemas.microsoft.com/office/drawing/2014/main" id="{55037701-DC14-4383-B3DE-A296F6AB83D1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oneCellAnchor>
    <xdr:from>
      <xdr:col>18</xdr:col>
      <xdr:colOff>0</xdr:colOff>
      <xdr:row>1</xdr:row>
      <xdr:rowOff>0</xdr:rowOff>
    </xdr:from>
    <xdr:ext cx="304800" cy="304800"/>
    <xdr:sp macro="" textlink="">
      <xdr:nvSpPr>
        <xdr:cNvPr id="35" name="AutoShape 1">
          <a:extLst>
            <a:ext uri="{FF2B5EF4-FFF2-40B4-BE49-F238E27FC236}">
              <a16:creationId xmlns:a16="http://schemas.microsoft.com/office/drawing/2014/main" id="{42810E3B-A20B-45F8-9276-6FB20F131D15}"/>
            </a:ext>
          </a:extLst>
        </xdr:cNvPr>
        <xdr:cNvSpPr>
          <a:spLocks noChangeAspect="1" noChangeArrowheads="1"/>
        </xdr:cNvSpPr>
      </xdr:nvSpPr>
      <xdr:spPr bwMode="auto">
        <a:xfrm>
          <a:off x="15030450" y="1238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1</xdr:col>
      <xdr:colOff>47065</xdr:colOff>
      <xdr:row>1</xdr:row>
      <xdr:rowOff>40341</xdr:rowOff>
    </xdr:from>
    <xdr:to>
      <xdr:col>2</xdr:col>
      <xdr:colOff>414771</xdr:colOff>
      <xdr:row>2</xdr:row>
      <xdr:rowOff>446442</xdr:rowOff>
    </xdr:to>
    <xdr:pic>
      <xdr:nvPicPr>
        <xdr:cNvPr id="38" name="Imagem 37" descr="Logotipo&#10;&#10;Descrição gerada automaticamente">
          <a:extLst>
            <a:ext uri="{FF2B5EF4-FFF2-40B4-BE49-F238E27FC236}">
              <a16:creationId xmlns:a16="http://schemas.microsoft.com/office/drawing/2014/main" id="{678AB9C7-6AE9-4265-828F-1639900EAE9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794" y="425823"/>
          <a:ext cx="1102812" cy="1168101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14</xdr:col>
      <xdr:colOff>1559860</xdr:colOff>
      <xdr:row>1</xdr:row>
      <xdr:rowOff>42583</xdr:rowOff>
    </xdr:from>
    <xdr:to>
      <xdr:col>15</xdr:col>
      <xdr:colOff>337461</xdr:colOff>
      <xdr:row>2</xdr:row>
      <xdr:rowOff>450932</xdr:rowOff>
    </xdr:to>
    <xdr:pic>
      <xdr:nvPicPr>
        <xdr:cNvPr id="39" name="Imagem 38">
          <a:extLst>
            <a:ext uri="{FF2B5EF4-FFF2-40B4-BE49-F238E27FC236}">
              <a16:creationId xmlns:a16="http://schemas.microsoft.com/office/drawing/2014/main" id="{EF4852BB-B5C3-467B-97B0-DB54E4DAF4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71178" y="428065"/>
          <a:ext cx="1153249" cy="117034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100855</xdr:colOff>
      <xdr:row>1</xdr:row>
      <xdr:rowOff>67236</xdr:rowOff>
    </xdr:from>
    <xdr:to>
      <xdr:col>3</xdr:col>
      <xdr:colOff>11362</xdr:colOff>
      <xdr:row>2</xdr:row>
      <xdr:rowOff>412377</xdr:rowOff>
    </xdr:to>
    <xdr:pic>
      <xdr:nvPicPr>
        <xdr:cNvPr id="2" name="Imagem 1" descr="Logotipo&#10;&#10;Descrição gerada automaticamente">
          <a:extLst>
            <a:ext uri="{FF2B5EF4-FFF2-40B4-BE49-F238E27FC236}">
              <a16:creationId xmlns:a16="http://schemas.microsoft.com/office/drawing/2014/main" id="{F55F3DD3-69CE-414E-BE94-22507887347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3584" y="452718"/>
          <a:ext cx="1093848" cy="1169894"/>
        </a:xfrm>
        <a:prstGeom prst="rect">
          <a:avLst/>
        </a:prstGeom>
        <a:solidFill>
          <a:sysClr val="window" lastClr="FFFFFF"/>
        </a:solidFill>
      </xdr:spPr>
    </xdr:pic>
    <xdr:clientData/>
  </xdr:twoCellAnchor>
  <xdr:twoCellAnchor editAs="oneCell">
    <xdr:from>
      <xdr:col>10</xdr:col>
      <xdr:colOff>1703294</xdr:colOff>
      <xdr:row>1</xdr:row>
      <xdr:rowOff>78442</xdr:rowOff>
    </xdr:from>
    <xdr:to>
      <xdr:col>11</xdr:col>
      <xdr:colOff>484033</xdr:colOff>
      <xdr:row>2</xdr:row>
      <xdr:rowOff>425831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722A6BEB-A62B-8CDB-DDA2-12E523CB9EC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287435" y="463924"/>
          <a:ext cx="1156386" cy="117214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3F57E-9BF6-44AE-A9B1-C04A8BDFA0AD}">
  <sheetPr>
    <pageSetUpPr fitToPage="1"/>
  </sheetPr>
  <dimension ref="A1:L44"/>
  <sheetViews>
    <sheetView topLeftCell="A29" zoomScale="115" zoomScaleNormal="115" workbookViewId="0">
      <selection activeCell="L40" sqref="A1:L40"/>
    </sheetView>
  </sheetViews>
  <sheetFormatPr defaultRowHeight="14.4" x14ac:dyDescent="0.3"/>
  <cols>
    <col min="1" max="1" width="1.77734375" customWidth="1"/>
    <col min="2" max="11" width="11.77734375" customWidth="1"/>
    <col min="12" max="12" width="1.77734375" customWidth="1"/>
  </cols>
  <sheetData>
    <row r="1" spans="1:12" ht="10.050000000000001" customHeight="1" thickBot="1" x14ac:dyDescent="0.35">
      <c r="A1" s="45"/>
      <c r="B1" s="9"/>
      <c r="C1" s="9"/>
      <c r="D1" s="9"/>
      <c r="E1" s="9"/>
      <c r="F1" s="9"/>
      <c r="G1" s="9"/>
      <c r="H1" s="9"/>
      <c r="I1" s="9"/>
      <c r="J1" s="9"/>
      <c r="K1" s="9"/>
      <c r="L1" s="46"/>
    </row>
    <row r="2" spans="1:12" ht="34.950000000000003" customHeight="1" x14ac:dyDescent="0.3">
      <c r="A2" s="47"/>
      <c r="B2" s="277" t="s">
        <v>116</v>
      </c>
      <c r="C2" s="278"/>
      <c r="D2" s="278"/>
      <c r="E2" s="278"/>
      <c r="F2" s="278"/>
      <c r="G2" s="278"/>
      <c r="H2" s="278"/>
      <c r="I2" s="278"/>
      <c r="J2" s="278"/>
      <c r="K2" s="279"/>
      <c r="L2" s="48"/>
    </row>
    <row r="3" spans="1:12" ht="30" customHeight="1" thickBot="1" x14ac:dyDescent="0.35">
      <c r="A3" s="47"/>
      <c r="B3" s="280" t="s">
        <v>115</v>
      </c>
      <c r="C3" s="281"/>
      <c r="D3" s="281"/>
      <c r="E3" s="281"/>
      <c r="F3" s="281"/>
      <c r="G3" s="281"/>
      <c r="H3" s="281"/>
      <c r="I3" s="281"/>
      <c r="J3" s="281"/>
      <c r="K3" s="282"/>
      <c r="L3" s="48"/>
    </row>
    <row r="4" spans="1:12" ht="30" customHeight="1" thickBot="1" x14ac:dyDescent="0.35">
      <c r="A4" s="47"/>
      <c r="B4" s="225" t="s">
        <v>181</v>
      </c>
      <c r="C4" s="226"/>
      <c r="D4" s="226"/>
      <c r="E4" s="226"/>
      <c r="F4" s="226"/>
      <c r="G4" s="226"/>
      <c r="H4" s="226"/>
      <c r="I4" s="226"/>
      <c r="J4" s="226"/>
      <c r="K4" s="227"/>
      <c r="L4" s="48"/>
    </row>
    <row r="5" spans="1:12" ht="30" customHeight="1" thickBot="1" x14ac:dyDescent="0.35">
      <c r="A5" s="47"/>
      <c r="B5" s="228" t="s">
        <v>121</v>
      </c>
      <c r="C5" s="229"/>
      <c r="D5" s="229"/>
      <c r="E5" s="229"/>
      <c r="F5" s="229"/>
      <c r="G5" s="229"/>
      <c r="H5" s="229"/>
      <c r="I5" s="229"/>
      <c r="J5" s="229"/>
      <c r="K5" s="230"/>
      <c r="L5" s="48"/>
    </row>
    <row r="6" spans="1:12" ht="10.050000000000001" customHeight="1" thickBot="1" x14ac:dyDescent="0.35">
      <c r="A6" s="47"/>
      <c r="B6" s="117"/>
      <c r="C6" s="117"/>
      <c r="D6" s="117"/>
      <c r="E6" s="117"/>
      <c r="F6" s="117"/>
      <c r="G6" s="117"/>
      <c r="H6" s="117"/>
      <c r="I6" s="117"/>
      <c r="J6" s="117"/>
      <c r="K6" s="117"/>
      <c r="L6" s="48"/>
    </row>
    <row r="7" spans="1:12" ht="25.05" customHeight="1" thickBot="1" x14ac:dyDescent="0.35">
      <c r="A7" s="47"/>
      <c r="B7" s="181" t="s">
        <v>149</v>
      </c>
      <c r="C7" s="182"/>
      <c r="D7" s="182"/>
      <c r="E7" s="182"/>
      <c r="F7" s="182"/>
      <c r="G7" s="182"/>
      <c r="H7" s="182"/>
      <c r="I7" s="182"/>
      <c r="J7" s="182"/>
      <c r="K7" s="183"/>
      <c r="L7" s="132"/>
    </row>
    <row r="8" spans="1:12" ht="25.05" customHeight="1" x14ac:dyDescent="0.3">
      <c r="A8" s="47"/>
      <c r="B8" s="241" t="s">
        <v>185</v>
      </c>
      <c r="C8" s="242"/>
      <c r="D8" s="242"/>
      <c r="E8" s="242"/>
      <c r="F8" s="242"/>
      <c r="G8" s="242"/>
      <c r="H8" s="242"/>
      <c r="I8" s="242"/>
      <c r="J8" s="242"/>
      <c r="K8" s="243"/>
      <c r="L8" s="132"/>
    </row>
    <row r="9" spans="1:12" ht="25.05" customHeight="1" x14ac:dyDescent="0.3">
      <c r="A9" s="47"/>
      <c r="B9" s="244" t="s">
        <v>150</v>
      </c>
      <c r="C9" s="245"/>
      <c r="D9" s="245"/>
      <c r="E9" s="245"/>
      <c r="F9" s="245"/>
      <c r="G9" s="245"/>
      <c r="H9" s="245"/>
      <c r="I9" s="245"/>
      <c r="J9" s="245"/>
      <c r="K9" s="246"/>
      <c r="L9" s="132"/>
    </row>
    <row r="10" spans="1:12" ht="25.05" customHeight="1" x14ac:dyDescent="0.3">
      <c r="A10" s="47"/>
      <c r="B10" s="244" t="s">
        <v>151</v>
      </c>
      <c r="C10" s="245"/>
      <c r="D10" s="245"/>
      <c r="E10" s="245"/>
      <c r="F10" s="245"/>
      <c r="G10" s="245"/>
      <c r="H10" s="245"/>
      <c r="I10" s="245"/>
      <c r="J10" s="245"/>
      <c r="K10" s="246"/>
      <c r="L10" s="132"/>
    </row>
    <row r="11" spans="1:12" ht="25.05" customHeight="1" thickBot="1" x14ac:dyDescent="0.35">
      <c r="A11" s="47"/>
      <c r="B11" s="247" t="s">
        <v>152</v>
      </c>
      <c r="C11" s="248"/>
      <c r="D11" s="248"/>
      <c r="E11" s="248"/>
      <c r="F11" s="248"/>
      <c r="G11" s="248"/>
      <c r="H11" s="248"/>
      <c r="I11" s="248"/>
      <c r="J11" s="248"/>
      <c r="K11" s="249"/>
      <c r="L11" s="132"/>
    </row>
    <row r="12" spans="1:12" ht="10.050000000000001" customHeight="1" thickBot="1" x14ac:dyDescent="0.35">
      <c r="A12" s="47"/>
      <c r="B12" s="118"/>
      <c r="C12" s="118"/>
      <c r="D12" s="118"/>
      <c r="E12" s="118"/>
      <c r="F12" s="118"/>
      <c r="G12" s="118"/>
      <c r="H12" s="118"/>
      <c r="I12" s="118"/>
      <c r="J12" s="118"/>
      <c r="K12" s="118"/>
      <c r="L12" s="132"/>
    </row>
    <row r="13" spans="1:12" ht="25.05" customHeight="1" thickBot="1" x14ac:dyDescent="0.35">
      <c r="A13" s="47"/>
      <c r="B13" s="207" t="s">
        <v>153</v>
      </c>
      <c r="C13" s="208"/>
      <c r="D13" s="208"/>
      <c r="E13" s="208"/>
      <c r="F13" s="208"/>
      <c r="G13" s="208"/>
      <c r="H13" s="208"/>
      <c r="I13" s="208"/>
      <c r="J13" s="208"/>
      <c r="K13" s="209"/>
      <c r="L13" s="132"/>
    </row>
    <row r="14" spans="1:12" ht="25.05" customHeight="1" x14ac:dyDescent="0.3">
      <c r="A14" s="47"/>
      <c r="B14" s="184" t="s">
        <v>154</v>
      </c>
      <c r="C14" s="185"/>
      <c r="D14" s="185"/>
      <c r="E14" s="185"/>
      <c r="F14" s="185"/>
      <c r="G14" s="185"/>
      <c r="H14" s="185"/>
      <c r="I14" s="185"/>
      <c r="J14" s="185"/>
      <c r="K14" s="186"/>
      <c r="L14" s="132"/>
    </row>
    <row r="15" spans="1:12" ht="25.05" customHeight="1" thickBot="1" x14ac:dyDescent="0.35">
      <c r="A15" s="47"/>
      <c r="B15" s="250" t="s">
        <v>155</v>
      </c>
      <c r="C15" s="251"/>
      <c r="D15" s="251"/>
      <c r="E15" s="251"/>
      <c r="F15" s="251"/>
      <c r="G15" s="251"/>
      <c r="H15" s="251"/>
      <c r="I15" s="251"/>
      <c r="J15" s="251"/>
      <c r="K15" s="252"/>
      <c r="L15" s="132"/>
    </row>
    <row r="16" spans="1:12" ht="10.050000000000001" customHeight="1" thickBot="1" x14ac:dyDescent="0.35">
      <c r="A16" s="47"/>
      <c r="B16" s="118"/>
      <c r="C16" s="118"/>
      <c r="D16" s="118"/>
      <c r="E16" s="118"/>
      <c r="F16" s="118"/>
      <c r="G16" s="118"/>
      <c r="H16" s="118"/>
      <c r="I16" s="118"/>
      <c r="J16" s="118"/>
      <c r="K16" s="118"/>
      <c r="L16" s="132"/>
    </row>
    <row r="17" spans="1:12" ht="25.05" customHeight="1" thickBot="1" x14ac:dyDescent="0.35">
      <c r="A17" s="47"/>
      <c r="B17" s="181" t="s">
        <v>156</v>
      </c>
      <c r="C17" s="182"/>
      <c r="D17" s="182"/>
      <c r="E17" s="182"/>
      <c r="F17" s="182"/>
      <c r="G17" s="182"/>
      <c r="H17" s="182"/>
      <c r="I17" s="182"/>
      <c r="J17" s="182"/>
      <c r="K17" s="183"/>
      <c r="L17" s="132"/>
    </row>
    <row r="18" spans="1:12" ht="25.05" customHeight="1" thickBot="1" x14ac:dyDescent="0.35">
      <c r="A18" s="47"/>
      <c r="B18" s="238" t="s">
        <v>179</v>
      </c>
      <c r="C18" s="239"/>
      <c r="D18" s="239"/>
      <c r="E18" s="239"/>
      <c r="F18" s="239"/>
      <c r="G18" s="239"/>
      <c r="H18" s="239"/>
      <c r="I18" s="239"/>
      <c r="J18" s="239"/>
      <c r="K18" s="240"/>
      <c r="L18" s="132"/>
    </row>
    <row r="19" spans="1:12" ht="25.05" customHeight="1" thickBot="1" x14ac:dyDescent="0.35">
      <c r="A19" s="47"/>
      <c r="B19" s="234" t="s">
        <v>118</v>
      </c>
      <c r="C19" s="235"/>
      <c r="D19" s="236" t="s">
        <v>140</v>
      </c>
      <c r="E19" s="236"/>
      <c r="F19" s="236"/>
      <c r="G19" s="236"/>
      <c r="H19" s="236" t="s">
        <v>141</v>
      </c>
      <c r="I19" s="236"/>
      <c r="J19" s="236"/>
      <c r="K19" s="237"/>
      <c r="L19" s="132"/>
    </row>
    <row r="20" spans="1:12" ht="25.05" customHeight="1" x14ac:dyDescent="0.3">
      <c r="A20" s="47"/>
      <c r="B20" s="187" t="s">
        <v>178</v>
      </c>
      <c r="C20" s="188"/>
      <c r="D20" s="119" t="s">
        <v>122</v>
      </c>
      <c r="E20" s="231" t="s">
        <v>142</v>
      </c>
      <c r="F20" s="232"/>
      <c r="G20" s="232"/>
      <c r="H20" s="232"/>
      <c r="I20" s="232"/>
      <c r="J20" s="232"/>
      <c r="K20" s="233"/>
      <c r="L20" s="132"/>
    </row>
    <row r="21" spans="1:12" ht="25.05" customHeight="1" x14ac:dyDescent="0.3">
      <c r="A21" s="47"/>
      <c r="B21" s="189"/>
      <c r="C21" s="190"/>
      <c r="D21" s="120" t="s">
        <v>2</v>
      </c>
      <c r="E21" s="198" t="s">
        <v>96</v>
      </c>
      <c r="F21" s="199"/>
      <c r="G21" s="199"/>
      <c r="H21" s="199"/>
      <c r="I21" s="199"/>
      <c r="J21" s="199"/>
      <c r="K21" s="200"/>
      <c r="L21" s="132"/>
    </row>
    <row r="22" spans="1:12" ht="25.05" customHeight="1" x14ac:dyDescent="0.3">
      <c r="A22" s="47"/>
      <c r="B22" s="191" t="s">
        <v>180</v>
      </c>
      <c r="C22" s="192"/>
      <c r="D22" s="121" t="s">
        <v>3</v>
      </c>
      <c r="E22" s="198" t="s">
        <v>143</v>
      </c>
      <c r="F22" s="199"/>
      <c r="G22" s="199"/>
      <c r="H22" s="199"/>
      <c r="I22" s="199"/>
      <c r="J22" s="199"/>
      <c r="K22" s="200"/>
      <c r="L22" s="132"/>
    </row>
    <row r="23" spans="1:12" ht="25.05" customHeight="1" thickBot="1" x14ac:dyDescent="0.35">
      <c r="A23" s="47"/>
      <c r="B23" s="193"/>
      <c r="C23" s="194"/>
      <c r="D23" s="122" t="s">
        <v>1</v>
      </c>
      <c r="E23" s="201" t="s">
        <v>144</v>
      </c>
      <c r="F23" s="202"/>
      <c r="G23" s="202"/>
      <c r="H23" s="202"/>
      <c r="I23" s="202"/>
      <c r="J23" s="202"/>
      <c r="K23" s="203"/>
      <c r="L23" s="132"/>
    </row>
    <row r="24" spans="1:12" ht="30" customHeight="1" thickBot="1" x14ac:dyDescent="0.35">
      <c r="A24" s="47"/>
      <c r="B24" s="135" t="s">
        <v>119</v>
      </c>
      <c r="C24" s="204" t="s">
        <v>145</v>
      </c>
      <c r="D24" s="205"/>
      <c r="E24" s="205"/>
      <c r="F24" s="205"/>
      <c r="G24" s="205"/>
      <c r="H24" s="205"/>
      <c r="I24" s="205"/>
      <c r="J24" s="205"/>
      <c r="K24" s="206"/>
      <c r="L24" s="132"/>
    </row>
    <row r="25" spans="1:12" ht="10.050000000000001" customHeight="1" thickBot="1" x14ac:dyDescent="0.35">
      <c r="A25" s="47"/>
      <c r="B25" s="118"/>
      <c r="C25" s="118"/>
      <c r="D25" s="118"/>
      <c r="E25" s="118"/>
      <c r="F25" s="118"/>
      <c r="G25" s="118"/>
      <c r="H25" s="118"/>
      <c r="I25" s="118"/>
      <c r="J25" s="118"/>
      <c r="K25" s="118"/>
      <c r="L25" s="132"/>
    </row>
    <row r="26" spans="1:12" ht="25.05" customHeight="1" thickBot="1" x14ac:dyDescent="0.35">
      <c r="A26" s="47"/>
      <c r="B26" s="207" t="s">
        <v>157</v>
      </c>
      <c r="C26" s="208"/>
      <c r="D26" s="208"/>
      <c r="E26" s="208"/>
      <c r="F26" s="208"/>
      <c r="G26" s="208"/>
      <c r="H26" s="208"/>
      <c r="I26" s="208"/>
      <c r="J26" s="208"/>
      <c r="K26" s="209"/>
      <c r="L26" s="132"/>
    </row>
    <row r="27" spans="1:12" ht="25.05" customHeight="1" thickBot="1" x14ac:dyDescent="0.35">
      <c r="A27" s="47"/>
      <c r="B27" s="123" t="s">
        <v>120</v>
      </c>
      <c r="C27" s="213" t="s">
        <v>158</v>
      </c>
      <c r="D27" s="214"/>
      <c r="E27" s="214"/>
      <c r="F27" s="214" t="s">
        <v>159</v>
      </c>
      <c r="G27" s="214"/>
      <c r="H27" s="214"/>
      <c r="I27" s="219" t="s">
        <v>160</v>
      </c>
      <c r="J27" s="219"/>
      <c r="K27" s="220"/>
      <c r="L27" s="132"/>
    </row>
    <row r="28" spans="1:12" ht="25.05" customHeight="1" thickBot="1" x14ac:dyDescent="0.35">
      <c r="A28" s="47"/>
      <c r="B28" s="124" t="s">
        <v>123</v>
      </c>
      <c r="C28" s="215" t="s">
        <v>161</v>
      </c>
      <c r="D28" s="216"/>
      <c r="E28" s="216"/>
      <c r="F28" s="216" t="s">
        <v>162</v>
      </c>
      <c r="G28" s="216"/>
      <c r="H28" s="216"/>
      <c r="I28" s="217" t="s">
        <v>163</v>
      </c>
      <c r="J28" s="217"/>
      <c r="K28" s="218"/>
      <c r="L28" s="132"/>
    </row>
    <row r="29" spans="1:12" ht="25.05" customHeight="1" thickBot="1" x14ac:dyDescent="0.35">
      <c r="A29" s="47"/>
      <c r="B29" s="221" t="s">
        <v>164</v>
      </c>
      <c r="C29" s="222"/>
      <c r="D29" s="222"/>
      <c r="E29" s="222"/>
      <c r="F29" s="223"/>
      <c r="G29" s="224" t="s">
        <v>165</v>
      </c>
      <c r="H29" s="222"/>
      <c r="I29" s="222"/>
      <c r="J29" s="222"/>
      <c r="K29" s="223"/>
      <c r="L29" s="132"/>
    </row>
    <row r="30" spans="1:12" ht="10.050000000000001" customHeight="1" thickBot="1" x14ac:dyDescent="0.35">
      <c r="A30" s="47"/>
      <c r="B30" s="118"/>
      <c r="C30" s="118"/>
      <c r="D30" s="118"/>
      <c r="E30" s="118"/>
      <c r="F30" s="118"/>
      <c r="G30" s="118"/>
      <c r="H30" s="118"/>
      <c r="I30" s="118"/>
      <c r="J30" s="118"/>
      <c r="K30" s="118"/>
      <c r="L30" s="132"/>
    </row>
    <row r="31" spans="1:12" ht="25.05" customHeight="1" thickBot="1" x14ac:dyDescent="0.35">
      <c r="A31" s="47"/>
      <c r="B31" s="207" t="s">
        <v>166</v>
      </c>
      <c r="C31" s="208"/>
      <c r="D31" s="208"/>
      <c r="E31" s="208"/>
      <c r="F31" s="208"/>
      <c r="G31" s="208"/>
      <c r="H31" s="208"/>
      <c r="I31" s="208"/>
      <c r="J31" s="208"/>
      <c r="K31" s="209"/>
      <c r="L31" s="132"/>
    </row>
    <row r="32" spans="1:12" ht="30" customHeight="1" x14ac:dyDescent="0.3">
      <c r="A32" s="47"/>
      <c r="B32" s="195" t="s">
        <v>167</v>
      </c>
      <c r="C32" s="196"/>
      <c r="D32" s="196"/>
      <c r="E32" s="196"/>
      <c r="F32" s="196"/>
      <c r="G32" s="196"/>
      <c r="H32" s="196"/>
      <c r="I32" s="196"/>
      <c r="J32" s="196"/>
      <c r="K32" s="197"/>
      <c r="L32" s="132"/>
    </row>
    <row r="33" spans="1:12" ht="25.05" customHeight="1" x14ac:dyDescent="0.3">
      <c r="A33" s="47"/>
      <c r="B33" s="210" t="s">
        <v>168</v>
      </c>
      <c r="C33" s="211"/>
      <c r="D33" s="211"/>
      <c r="E33" s="211"/>
      <c r="F33" s="211"/>
      <c r="G33" s="211"/>
      <c r="H33" s="211"/>
      <c r="I33" s="211"/>
      <c r="J33" s="211"/>
      <c r="K33" s="212"/>
      <c r="L33" s="132"/>
    </row>
    <row r="34" spans="1:12" ht="25.05" customHeight="1" x14ac:dyDescent="0.3">
      <c r="A34" s="47"/>
      <c r="B34" s="210" t="s">
        <v>169</v>
      </c>
      <c r="C34" s="211"/>
      <c r="D34" s="211"/>
      <c r="E34" s="211"/>
      <c r="F34" s="211"/>
      <c r="G34" s="211"/>
      <c r="H34" s="211"/>
      <c r="I34" s="211"/>
      <c r="J34" s="211"/>
      <c r="K34" s="212"/>
      <c r="L34" s="132"/>
    </row>
    <row r="35" spans="1:12" ht="25.05" customHeight="1" thickBot="1" x14ac:dyDescent="0.35">
      <c r="A35" s="47"/>
      <c r="B35" s="250" t="s">
        <v>170</v>
      </c>
      <c r="C35" s="251"/>
      <c r="D35" s="251"/>
      <c r="E35" s="251"/>
      <c r="F35" s="251"/>
      <c r="G35" s="251"/>
      <c r="H35" s="251"/>
      <c r="I35" s="251"/>
      <c r="J35" s="251"/>
      <c r="K35" s="252"/>
      <c r="L35" s="132"/>
    </row>
    <row r="36" spans="1:12" ht="10.050000000000001" customHeight="1" thickBot="1" x14ac:dyDescent="0.35">
      <c r="A36" s="47"/>
      <c r="B36" s="118"/>
      <c r="C36" s="118"/>
      <c r="D36" s="118"/>
      <c r="E36" s="118"/>
      <c r="F36" s="118"/>
      <c r="G36" s="118"/>
      <c r="H36" s="118"/>
      <c r="I36" s="118"/>
      <c r="J36" s="118"/>
      <c r="K36" s="118"/>
      <c r="L36" s="132"/>
    </row>
    <row r="37" spans="1:12" ht="25.05" customHeight="1" thickBot="1" x14ac:dyDescent="0.35">
      <c r="A37" s="47"/>
      <c r="B37" s="207" t="s">
        <v>171</v>
      </c>
      <c r="C37" s="208"/>
      <c r="D37" s="208"/>
      <c r="E37" s="208"/>
      <c r="F37" s="208"/>
      <c r="G37" s="209"/>
      <c r="H37" s="118"/>
      <c r="I37" s="207" t="s">
        <v>146</v>
      </c>
      <c r="J37" s="208"/>
      <c r="K37" s="209"/>
      <c r="L37" s="132"/>
    </row>
    <row r="38" spans="1:12" ht="25.05" customHeight="1" x14ac:dyDescent="0.3">
      <c r="A38" s="47"/>
      <c r="B38" s="125" t="s">
        <v>172</v>
      </c>
      <c r="C38" s="126" t="s">
        <v>173</v>
      </c>
      <c r="D38" s="126" t="s">
        <v>174</v>
      </c>
      <c r="E38" s="126" t="s">
        <v>175</v>
      </c>
      <c r="F38" s="126" t="s">
        <v>176</v>
      </c>
      <c r="G38" s="127" t="s">
        <v>177</v>
      </c>
      <c r="H38" s="128"/>
      <c r="I38" s="253" t="s">
        <v>148</v>
      </c>
      <c r="J38" s="254"/>
      <c r="K38" s="255"/>
      <c r="L38" s="132"/>
    </row>
    <row r="39" spans="1:12" ht="25.05" customHeight="1" thickBot="1" x14ac:dyDescent="0.35">
      <c r="A39" s="47"/>
      <c r="B39" s="129">
        <v>300</v>
      </c>
      <c r="C39" s="130">
        <v>240</v>
      </c>
      <c r="D39" s="130">
        <v>190</v>
      </c>
      <c r="E39" s="130">
        <v>150</v>
      </c>
      <c r="F39" s="130">
        <v>120</v>
      </c>
      <c r="G39" s="131">
        <v>100</v>
      </c>
      <c r="H39" s="128"/>
      <c r="I39" s="256" t="s">
        <v>147</v>
      </c>
      <c r="J39" s="257"/>
      <c r="K39" s="258"/>
      <c r="L39" s="132"/>
    </row>
    <row r="40" spans="1:12" ht="10.050000000000001" customHeight="1" thickBot="1" x14ac:dyDescent="0.35">
      <c r="A40" s="49"/>
      <c r="B40" s="133"/>
      <c r="C40" s="133"/>
      <c r="D40" s="133"/>
      <c r="E40" s="133"/>
      <c r="F40" s="133"/>
      <c r="G40" s="133"/>
      <c r="H40" s="133"/>
      <c r="I40" s="133"/>
      <c r="J40" s="133"/>
      <c r="K40" s="133"/>
      <c r="L40" s="134"/>
    </row>
    <row r="41" spans="1:12" ht="30" customHeight="1" x14ac:dyDescent="0.3"/>
    <row r="42" spans="1:12" ht="30" customHeight="1" x14ac:dyDescent="0.3"/>
    <row r="44" spans="1:12" x14ac:dyDescent="0.3">
      <c r="B44" s="97"/>
    </row>
  </sheetData>
  <mergeCells count="42">
    <mergeCell ref="I38:K38"/>
    <mergeCell ref="I39:K39"/>
    <mergeCell ref="B35:K35"/>
    <mergeCell ref="B37:G37"/>
    <mergeCell ref="I37:K37"/>
    <mergeCell ref="B2:K2"/>
    <mergeCell ref="B3:K3"/>
    <mergeCell ref="B4:K4"/>
    <mergeCell ref="B5:K5"/>
    <mergeCell ref="E20:K20"/>
    <mergeCell ref="B19:C19"/>
    <mergeCell ref="D19:G19"/>
    <mergeCell ref="H19:K19"/>
    <mergeCell ref="B18:K18"/>
    <mergeCell ref="B7:K7"/>
    <mergeCell ref="B8:K8"/>
    <mergeCell ref="B9:K9"/>
    <mergeCell ref="B10:K10"/>
    <mergeCell ref="B11:K11"/>
    <mergeCell ref="B13:K13"/>
    <mergeCell ref="B15:K15"/>
    <mergeCell ref="B33:K33"/>
    <mergeCell ref="B34:K34"/>
    <mergeCell ref="C27:E27"/>
    <mergeCell ref="C28:E28"/>
    <mergeCell ref="F27:H27"/>
    <mergeCell ref="I28:K28"/>
    <mergeCell ref="I27:K27"/>
    <mergeCell ref="F28:H28"/>
    <mergeCell ref="B29:F29"/>
    <mergeCell ref="G29:K29"/>
    <mergeCell ref="B31:K31"/>
    <mergeCell ref="B17:K17"/>
    <mergeCell ref="B14:K14"/>
    <mergeCell ref="B20:C21"/>
    <mergeCell ref="B22:C23"/>
    <mergeCell ref="B32:K32"/>
    <mergeCell ref="E22:K22"/>
    <mergeCell ref="E23:K23"/>
    <mergeCell ref="C24:K24"/>
    <mergeCell ref="B26:K26"/>
    <mergeCell ref="E21:K21"/>
  </mergeCells>
  <printOptions horizontalCentered="1" verticalCentered="1"/>
  <pageMargins left="0.19685039370078741" right="0.19685039370078741" top="0.19685039370078741" bottom="0.19685039370078741" header="0" footer="0"/>
  <pageSetup paperSize="9" scale="82" orientation="portrait" horizontalDpi="300" verticalDpi="3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0C18C-59AD-433D-BCDD-C5B50A607B90}">
  <sheetPr>
    <pageSetUpPr fitToPage="1"/>
  </sheetPr>
  <dimension ref="A1:T43"/>
  <sheetViews>
    <sheetView showGridLines="0" zoomScale="85" zoomScaleNormal="85" workbookViewId="0">
      <selection activeCell="Q1" sqref="A1:Q26"/>
    </sheetView>
  </sheetViews>
  <sheetFormatPr defaultRowHeight="14.4" x14ac:dyDescent="0.3"/>
  <cols>
    <col min="1" max="1" width="5.33203125" customWidth="1"/>
    <col min="2" max="2" width="10.6640625" customWidth="1"/>
    <col min="3" max="3" width="34.6640625" customWidth="1"/>
    <col min="4" max="4" width="5.6640625" customWidth="1"/>
    <col min="5" max="5" width="5.33203125" customWidth="1"/>
    <col min="6" max="6" width="10.6640625" customWidth="1"/>
    <col min="7" max="7" width="34.6640625" customWidth="1"/>
    <col min="8" max="8" width="5.6640625" customWidth="1"/>
    <col min="9" max="9" width="5.33203125" customWidth="1"/>
    <col min="10" max="10" width="10.6640625" customWidth="1"/>
    <col min="11" max="11" width="34.6640625" customWidth="1"/>
    <col min="12" max="12" width="5.6640625" customWidth="1"/>
    <col min="13" max="13" width="5.33203125" customWidth="1"/>
    <col min="14" max="14" width="13.88671875" customWidth="1"/>
    <col min="15" max="15" width="34.6640625" customWidth="1"/>
    <col min="16" max="16" width="5.6640625" customWidth="1"/>
    <col min="17" max="17" width="5.33203125" customWidth="1"/>
    <col min="18" max="18" width="1.77734375" customWidth="1"/>
    <col min="20" max="20" width="35.21875" bestFit="1" customWidth="1"/>
  </cols>
  <sheetData>
    <row r="1" spans="1:20" ht="30" customHeight="1" thickBot="1" x14ac:dyDescent="0.35">
      <c r="A1" s="262"/>
      <c r="B1" s="265"/>
      <c r="C1" s="265"/>
      <c r="D1" s="265"/>
      <c r="E1" s="265"/>
      <c r="F1" s="265"/>
      <c r="G1" s="265"/>
      <c r="H1" s="265"/>
      <c r="I1" s="265"/>
      <c r="J1" s="265"/>
      <c r="K1" s="265"/>
      <c r="L1" s="265"/>
      <c r="M1" s="265"/>
      <c r="N1" s="265"/>
      <c r="O1" s="265"/>
      <c r="P1" s="265"/>
      <c r="Q1" s="266"/>
    </row>
    <row r="2" spans="1:20" ht="60" customHeight="1" x14ac:dyDescent="0.3">
      <c r="A2" s="263"/>
      <c r="B2" s="283" t="s">
        <v>116</v>
      </c>
      <c r="C2" s="284"/>
      <c r="D2" s="284"/>
      <c r="E2" s="284"/>
      <c r="F2" s="284"/>
      <c r="G2" s="284"/>
      <c r="H2" s="284"/>
      <c r="I2" s="284"/>
      <c r="J2" s="284"/>
      <c r="K2" s="284"/>
      <c r="L2" s="284"/>
      <c r="M2" s="284"/>
      <c r="N2" s="284"/>
      <c r="O2" s="284"/>
      <c r="P2" s="285"/>
      <c r="Q2" s="267"/>
    </row>
    <row r="3" spans="1:20" ht="40.049999999999997" customHeight="1" thickBot="1" x14ac:dyDescent="0.35">
      <c r="A3" s="263"/>
      <c r="B3" s="286" t="s">
        <v>115</v>
      </c>
      <c r="C3" s="287"/>
      <c r="D3" s="287"/>
      <c r="E3" s="287"/>
      <c r="F3" s="287"/>
      <c r="G3" s="287"/>
      <c r="H3" s="287"/>
      <c r="I3" s="287"/>
      <c r="J3" s="287"/>
      <c r="K3" s="287"/>
      <c r="L3" s="287"/>
      <c r="M3" s="287"/>
      <c r="N3" s="287"/>
      <c r="O3" s="287"/>
      <c r="P3" s="288"/>
      <c r="Q3" s="267"/>
    </row>
    <row r="4" spans="1:20" ht="40.049999999999997" customHeight="1" thickBot="1" x14ac:dyDescent="0.35">
      <c r="A4" s="263"/>
      <c r="B4" s="269" t="s">
        <v>182</v>
      </c>
      <c r="C4" s="269"/>
      <c r="D4" s="269"/>
      <c r="E4" s="269"/>
      <c r="F4" s="269"/>
      <c r="G4" s="269"/>
      <c r="H4" s="269"/>
      <c r="I4" s="269"/>
      <c r="J4" s="269"/>
      <c r="K4" s="269"/>
      <c r="L4" s="269"/>
      <c r="M4" s="269"/>
      <c r="N4" s="269"/>
      <c r="O4" s="269"/>
      <c r="P4" s="269"/>
      <c r="Q4" s="267"/>
    </row>
    <row r="5" spans="1:20" ht="40.049999999999997" customHeight="1" thickBot="1" x14ac:dyDescent="0.35">
      <c r="A5" s="263"/>
      <c r="B5" s="228" t="s">
        <v>23</v>
      </c>
      <c r="C5" s="229"/>
      <c r="D5" s="229"/>
      <c r="E5" s="229"/>
      <c r="F5" s="229"/>
      <c r="G5" s="229"/>
      <c r="H5" s="229"/>
      <c r="I5" s="229"/>
      <c r="J5" s="229"/>
      <c r="K5" s="229"/>
      <c r="L5" s="229"/>
      <c r="M5" s="229"/>
      <c r="N5" s="229"/>
      <c r="O5" s="229"/>
      <c r="P5" s="230"/>
      <c r="Q5" s="267"/>
    </row>
    <row r="6" spans="1:20" ht="30" customHeight="1" thickBot="1" x14ac:dyDescent="0.35">
      <c r="A6" s="263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38"/>
      <c r="N6" s="138"/>
      <c r="O6" s="138"/>
      <c r="P6" s="138"/>
      <c r="Q6" s="267"/>
    </row>
    <row r="7" spans="1:20" ht="30" customHeight="1" thickBot="1" x14ac:dyDescent="0.35">
      <c r="A7" s="263"/>
      <c r="B7" s="270" t="s">
        <v>19</v>
      </c>
      <c r="C7" s="271"/>
      <c r="D7" s="272"/>
      <c r="E7" s="273"/>
      <c r="F7" s="259" t="s">
        <v>20</v>
      </c>
      <c r="G7" s="260"/>
      <c r="H7" s="261"/>
      <c r="I7" s="273"/>
      <c r="J7" s="259" t="s">
        <v>24</v>
      </c>
      <c r="K7" s="260"/>
      <c r="L7" s="261"/>
      <c r="M7" s="273"/>
      <c r="N7" s="259" t="s">
        <v>25</v>
      </c>
      <c r="O7" s="260"/>
      <c r="P7" s="261"/>
      <c r="Q7" s="267"/>
    </row>
    <row r="8" spans="1:20" ht="30" customHeight="1" x14ac:dyDescent="0.3">
      <c r="A8" s="263"/>
      <c r="B8" s="64" t="s">
        <v>26</v>
      </c>
      <c r="C8" s="65" t="s">
        <v>14</v>
      </c>
      <c r="D8" s="66" t="s">
        <v>27</v>
      </c>
      <c r="E8" s="273"/>
      <c r="F8" s="64" t="s">
        <v>26</v>
      </c>
      <c r="G8" s="66" t="s">
        <v>14</v>
      </c>
      <c r="H8" s="66" t="s">
        <v>27</v>
      </c>
      <c r="I8" s="273"/>
      <c r="J8" s="64" t="s">
        <v>26</v>
      </c>
      <c r="K8" s="66" t="s">
        <v>14</v>
      </c>
      <c r="L8" s="66" t="s">
        <v>27</v>
      </c>
      <c r="M8" s="273"/>
      <c r="N8" s="64" t="s">
        <v>26</v>
      </c>
      <c r="O8" s="66" t="s">
        <v>14</v>
      </c>
      <c r="P8" s="66" t="s">
        <v>27</v>
      </c>
      <c r="Q8" s="267"/>
    </row>
    <row r="9" spans="1:20" ht="30" customHeight="1" thickBot="1" x14ac:dyDescent="0.35">
      <c r="A9" s="263"/>
      <c r="B9" s="67" t="s">
        <v>0</v>
      </c>
      <c r="C9" s="39" t="str">
        <f>C18</f>
        <v>Brunele N./Milena Menezes</v>
      </c>
      <c r="D9" s="68" t="s">
        <v>28</v>
      </c>
      <c r="E9" s="273"/>
      <c r="F9" s="67" t="s">
        <v>2</v>
      </c>
      <c r="G9" s="86" t="str">
        <f>C19</f>
        <v>Luana/Juliane</v>
      </c>
      <c r="H9" s="68" t="s">
        <v>29</v>
      </c>
      <c r="I9" s="273"/>
      <c r="J9" s="67" t="s">
        <v>3</v>
      </c>
      <c r="K9" s="87" t="str">
        <f>C20</f>
        <v>Camila/Fabi</v>
      </c>
      <c r="L9" s="68" t="s">
        <v>30</v>
      </c>
      <c r="M9" s="273"/>
      <c r="N9" s="67" t="s">
        <v>1</v>
      </c>
      <c r="O9" s="87" t="str">
        <f>C21</f>
        <v>Julli/Rayanne</v>
      </c>
      <c r="P9" s="68" t="s">
        <v>31</v>
      </c>
      <c r="Q9" s="267"/>
    </row>
    <row r="10" spans="1:20" ht="30" customHeight="1" x14ac:dyDescent="0.3">
      <c r="A10" s="263"/>
      <c r="B10" s="67" t="s">
        <v>7</v>
      </c>
      <c r="C10" s="84" t="str">
        <f>C25</f>
        <v>Alciene/Marina</v>
      </c>
      <c r="D10" s="68" t="s">
        <v>32</v>
      </c>
      <c r="E10" s="273"/>
      <c r="F10" s="67" t="s">
        <v>6</v>
      </c>
      <c r="G10" s="87" t="str">
        <f>C24</f>
        <v>Fran/Karu</v>
      </c>
      <c r="H10" s="68" t="s">
        <v>33</v>
      </c>
      <c r="I10" s="273"/>
      <c r="J10" s="67" t="s">
        <v>5</v>
      </c>
      <c r="K10" s="87" t="str">
        <f>C23</f>
        <v>Sergi/Suzi</v>
      </c>
      <c r="L10" s="68" t="s">
        <v>34</v>
      </c>
      <c r="M10" s="273"/>
      <c r="N10" s="67" t="s">
        <v>4</v>
      </c>
      <c r="O10" s="87" t="str">
        <f>C22</f>
        <v>Sarah/Marina Santos</v>
      </c>
      <c r="P10" s="68" t="s">
        <v>35</v>
      </c>
      <c r="Q10" s="267"/>
      <c r="T10" s="292" t="s">
        <v>202</v>
      </c>
    </row>
    <row r="11" spans="1:20" ht="30" customHeight="1" x14ac:dyDescent="0.3">
      <c r="A11" s="263"/>
      <c r="B11" s="67" t="s">
        <v>36</v>
      </c>
      <c r="C11" s="84" t="str">
        <f>K18</f>
        <v>Dani Costa/Lígia</v>
      </c>
      <c r="D11" s="68" t="s">
        <v>37</v>
      </c>
      <c r="E11" s="273"/>
      <c r="F11" s="67" t="s">
        <v>38</v>
      </c>
      <c r="G11" s="87" t="str">
        <f>K19</f>
        <v>Juliana/Bruna Caltabiano</v>
      </c>
      <c r="H11" s="68" t="s">
        <v>39</v>
      </c>
      <c r="I11" s="273"/>
      <c r="J11" s="67" t="s">
        <v>40</v>
      </c>
      <c r="K11" s="87" t="str">
        <f>K20</f>
        <v>Iza/Ray</v>
      </c>
      <c r="L11" s="68" t="s">
        <v>41</v>
      </c>
      <c r="M11" s="273"/>
      <c r="N11" s="67" t="s">
        <v>42</v>
      </c>
      <c r="O11" s="87" t="str">
        <f>K21</f>
        <v>Lili/Gadelha</v>
      </c>
      <c r="P11" s="68" t="s">
        <v>43</v>
      </c>
      <c r="Q11" s="267"/>
      <c r="T11" s="115" t="s">
        <v>186</v>
      </c>
    </row>
    <row r="12" spans="1:20" ht="30" customHeight="1" thickBot="1" x14ac:dyDescent="0.35">
      <c r="A12" s="263"/>
      <c r="B12" s="69" t="s">
        <v>44</v>
      </c>
      <c r="C12" s="85" t="str">
        <f>K25</f>
        <v>Isabela Monteiro/Marina Vasc.</v>
      </c>
      <c r="D12" s="70" t="s">
        <v>45</v>
      </c>
      <c r="E12" s="273"/>
      <c r="F12" s="69" t="s">
        <v>46</v>
      </c>
      <c r="G12" s="88" t="str">
        <f>K24</f>
        <v>⁠Manu Gomes/Julia Evelyn</v>
      </c>
      <c r="H12" s="70" t="s">
        <v>47</v>
      </c>
      <c r="I12" s="273"/>
      <c r="J12" s="69" t="s">
        <v>48</v>
      </c>
      <c r="K12" s="88" t="str">
        <f>K23</f>
        <v>Tata Bonini/Duda Rocha</v>
      </c>
      <c r="L12" s="70" t="s">
        <v>49</v>
      </c>
      <c r="M12" s="273"/>
      <c r="N12" s="69" t="s">
        <v>50</v>
      </c>
      <c r="O12" s="88" t="str">
        <f>K22</f>
        <v>Rafa Silva/Julia Klin</v>
      </c>
      <c r="P12" s="70" t="s">
        <v>51</v>
      </c>
      <c r="Q12" s="267"/>
      <c r="T12" s="115" t="s">
        <v>187</v>
      </c>
    </row>
    <row r="13" spans="1:20" ht="30" customHeight="1" thickBot="1" x14ac:dyDescent="0.35">
      <c r="A13" s="263"/>
      <c r="B13" s="89"/>
      <c r="C13" s="90"/>
      <c r="D13" s="91"/>
      <c r="E13" s="36"/>
      <c r="F13" s="89"/>
      <c r="G13" s="90"/>
      <c r="H13" s="91"/>
      <c r="I13" s="36"/>
      <c r="J13" s="89"/>
      <c r="K13" s="90"/>
      <c r="L13" s="91"/>
      <c r="M13" s="36"/>
      <c r="N13" s="89"/>
      <c r="O13" s="90"/>
      <c r="P13" s="91"/>
      <c r="Q13" s="267"/>
      <c r="T13" s="115" t="s">
        <v>188</v>
      </c>
    </row>
    <row r="14" spans="1:20" ht="30" customHeight="1" thickBot="1" x14ac:dyDescent="0.35">
      <c r="A14" s="263"/>
      <c r="B14" s="94"/>
      <c r="C14" s="95"/>
      <c r="D14" s="96"/>
      <c r="E14" s="72"/>
      <c r="F14" s="94"/>
      <c r="G14" s="95"/>
      <c r="H14" s="96"/>
      <c r="I14" s="72"/>
      <c r="J14" s="94"/>
      <c r="K14" s="95"/>
      <c r="L14" s="96"/>
      <c r="M14" s="72"/>
      <c r="N14" s="94"/>
      <c r="O14" s="95"/>
      <c r="P14" s="96"/>
      <c r="Q14" s="267"/>
      <c r="T14" s="115" t="s">
        <v>189</v>
      </c>
    </row>
    <row r="15" spans="1:20" ht="30" customHeight="1" thickBot="1" x14ac:dyDescent="0.35">
      <c r="A15" s="263"/>
      <c r="B15" s="289" t="s">
        <v>184</v>
      </c>
      <c r="C15" s="290"/>
      <c r="D15" s="290"/>
      <c r="E15" s="290"/>
      <c r="F15" s="290"/>
      <c r="G15" s="290"/>
      <c r="H15" s="290"/>
      <c r="I15" s="290"/>
      <c r="J15" s="290"/>
      <c r="K15" s="290"/>
      <c r="L15" s="290"/>
      <c r="M15" s="290"/>
      <c r="N15" s="290"/>
      <c r="O15" s="290"/>
      <c r="P15" s="291"/>
      <c r="Q15" s="267"/>
      <c r="T15" s="115" t="s">
        <v>190</v>
      </c>
    </row>
    <row r="16" spans="1:20" ht="30" customHeight="1" thickBot="1" x14ac:dyDescent="0.35">
      <c r="A16" s="263"/>
      <c r="B16" s="92"/>
      <c r="C16" s="92"/>
      <c r="D16" s="92"/>
      <c r="E16" s="92"/>
      <c r="F16" s="92"/>
      <c r="G16" s="92"/>
      <c r="H16" s="92"/>
      <c r="I16" s="93"/>
      <c r="J16" s="93"/>
      <c r="K16" s="93"/>
      <c r="L16" s="93"/>
      <c r="M16" s="93"/>
      <c r="N16" s="93"/>
      <c r="O16" s="93"/>
      <c r="P16" s="93"/>
      <c r="Q16" s="267"/>
      <c r="T16" s="115" t="s">
        <v>191</v>
      </c>
    </row>
    <row r="17" spans="1:20" ht="30" customHeight="1" thickBot="1" x14ac:dyDescent="0.35">
      <c r="A17" s="263"/>
      <c r="B17" s="293" t="s">
        <v>26</v>
      </c>
      <c r="C17" s="294" t="s">
        <v>15</v>
      </c>
      <c r="D17" s="294"/>
      <c r="E17" s="294"/>
      <c r="F17" s="294"/>
      <c r="G17" s="294"/>
      <c r="H17" s="295" t="s">
        <v>27</v>
      </c>
      <c r="I17" s="274"/>
      <c r="J17" s="293" t="s">
        <v>26</v>
      </c>
      <c r="K17" s="294" t="s">
        <v>15</v>
      </c>
      <c r="L17" s="294"/>
      <c r="M17" s="294"/>
      <c r="N17" s="294"/>
      <c r="O17" s="294"/>
      <c r="P17" s="295" t="s">
        <v>27</v>
      </c>
      <c r="Q17" s="267"/>
      <c r="T17" s="115" t="s">
        <v>192</v>
      </c>
    </row>
    <row r="18" spans="1:20" ht="30" customHeight="1" x14ac:dyDescent="0.3">
      <c r="A18" s="263"/>
      <c r="B18" s="298" t="s">
        <v>0</v>
      </c>
      <c r="C18" s="299" t="s">
        <v>204</v>
      </c>
      <c r="D18" s="299"/>
      <c r="E18" s="299"/>
      <c r="F18" s="300" t="s">
        <v>183</v>
      </c>
      <c r="G18" s="300"/>
      <c r="H18" s="35" t="s">
        <v>28</v>
      </c>
      <c r="I18" s="274"/>
      <c r="J18" s="298" t="s">
        <v>36</v>
      </c>
      <c r="K18" s="299" t="s">
        <v>194</v>
      </c>
      <c r="L18" s="299"/>
      <c r="M18" s="299"/>
      <c r="N18" s="300" t="s">
        <v>183</v>
      </c>
      <c r="O18" s="300"/>
      <c r="P18" s="35" t="s">
        <v>37</v>
      </c>
      <c r="Q18" s="267"/>
      <c r="T18" s="115" t="s">
        <v>193</v>
      </c>
    </row>
    <row r="19" spans="1:20" ht="30" customHeight="1" x14ac:dyDescent="0.3">
      <c r="A19" s="263"/>
      <c r="B19" s="67" t="s">
        <v>2</v>
      </c>
      <c r="C19" s="296" t="s">
        <v>187</v>
      </c>
      <c r="D19" s="296"/>
      <c r="E19" s="296"/>
      <c r="F19" s="297" t="s">
        <v>183</v>
      </c>
      <c r="G19" s="297"/>
      <c r="H19" s="32" t="s">
        <v>29</v>
      </c>
      <c r="I19" s="274"/>
      <c r="J19" s="67" t="s">
        <v>38</v>
      </c>
      <c r="K19" s="296" t="s">
        <v>195</v>
      </c>
      <c r="L19" s="296"/>
      <c r="M19" s="296"/>
      <c r="N19" s="297" t="s">
        <v>183</v>
      </c>
      <c r="O19" s="297"/>
      <c r="P19" s="32" t="s">
        <v>39</v>
      </c>
      <c r="Q19" s="267"/>
      <c r="S19" s="116"/>
      <c r="T19" s="115" t="s">
        <v>194</v>
      </c>
    </row>
    <row r="20" spans="1:20" ht="30" customHeight="1" x14ac:dyDescent="0.3">
      <c r="A20" s="263"/>
      <c r="B20" s="67" t="s">
        <v>3</v>
      </c>
      <c r="C20" s="296" t="s">
        <v>188</v>
      </c>
      <c r="D20" s="296"/>
      <c r="E20" s="296"/>
      <c r="F20" s="297" t="s">
        <v>183</v>
      </c>
      <c r="G20" s="297"/>
      <c r="H20" s="32" t="s">
        <v>30</v>
      </c>
      <c r="I20" s="274"/>
      <c r="J20" s="67" t="s">
        <v>40</v>
      </c>
      <c r="K20" s="296" t="s">
        <v>196</v>
      </c>
      <c r="L20" s="296"/>
      <c r="M20" s="296"/>
      <c r="N20" s="297" t="s">
        <v>183</v>
      </c>
      <c r="O20" s="297"/>
      <c r="P20" s="32" t="s">
        <v>41</v>
      </c>
      <c r="Q20" s="267"/>
      <c r="T20" s="115" t="s">
        <v>195</v>
      </c>
    </row>
    <row r="21" spans="1:20" ht="30" customHeight="1" x14ac:dyDescent="0.3">
      <c r="A21" s="263"/>
      <c r="B21" s="67" t="s">
        <v>1</v>
      </c>
      <c r="C21" s="296" t="s">
        <v>189</v>
      </c>
      <c r="D21" s="296"/>
      <c r="E21" s="296"/>
      <c r="F21" s="297" t="s">
        <v>183</v>
      </c>
      <c r="G21" s="297"/>
      <c r="H21" s="32" t="s">
        <v>31</v>
      </c>
      <c r="I21" s="274"/>
      <c r="J21" s="67" t="s">
        <v>42</v>
      </c>
      <c r="K21" s="296" t="s">
        <v>197</v>
      </c>
      <c r="L21" s="296"/>
      <c r="M21" s="296"/>
      <c r="N21" s="297" t="s">
        <v>183</v>
      </c>
      <c r="O21" s="297"/>
      <c r="P21" s="32" t="s">
        <v>43</v>
      </c>
      <c r="Q21" s="267"/>
      <c r="T21" s="115" t="s">
        <v>196</v>
      </c>
    </row>
    <row r="22" spans="1:20" ht="30" customHeight="1" x14ac:dyDescent="0.3">
      <c r="A22" s="263"/>
      <c r="B22" s="67" t="s">
        <v>4</v>
      </c>
      <c r="C22" s="296" t="s">
        <v>190</v>
      </c>
      <c r="D22" s="296"/>
      <c r="E22" s="296"/>
      <c r="F22" s="297" t="s">
        <v>183</v>
      </c>
      <c r="G22" s="297"/>
      <c r="H22" s="32" t="s">
        <v>35</v>
      </c>
      <c r="I22" s="274"/>
      <c r="J22" s="67" t="s">
        <v>50</v>
      </c>
      <c r="K22" s="296" t="s">
        <v>198</v>
      </c>
      <c r="L22" s="296"/>
      <c r="M22" s="296"/>
      <c r="N22" s="297" t="s">
        <v>183</v>
      </c>
      <c r="O22" s="297"/>
      <c r="P22" s="32" t="s">
        <v>51</v>
      </c>
      <c r="Q22" s="267"/>
      <c r="T22" s="115" t="s">
        <v>197</v>
      </c>
    </row>
    <row r="23" spans="1:20" ht="30" customHeight="1" x14ac:dyDescent="0.3">
      <c r="A23" s="263"/>
      <c r="B23" s="67" t="s">
        <v>5</v>
      </c>
      <c r="C23" s="296" t="s">
        <v>191</v>
      </c>
      <c r="D23" s="296"/>
      <c r="E23" s="296"/>
      <c r="F23" s="297" t="s">
        <v>183</v>
      </c>
      <c r="G23" s="297"/>
      <c r="H23" s="32" t="s">
        <v>34</v>
      </c>
      <c r="I23" s="274"/>
      <c r="J23" s="67" t="s">
        <v>48</v>
      </c>
      <c r="K23" s="296" t="s">
        <v>199</v>
      </c>
      <c r="L23" s="296"/>
      <c r="M23" s="296"/>
      <c r="N23" s="297" t="s">
        <v>183</v>
      </c>
      <c r="O23" s="297"/>
      <c r="P23" s="32" t="s">
        <v>49</v>
      </c>
      <c r="Q23" s="267"/>
      <c r="T23" s="115" t="s">
        <v>198</v>
      </c>
    </row>
    <row r="24" spans="1:20" ht="30" customHeight="1" x14ac:dyDescent="0.3">
      <c r="A24" s="263"/>
      <c r="B24" s="67" t="s">
        <v>6</v>
      </c>
      <c r="C24" s="296" t="s">
        <v>192</v>
      </c>
      <c r="D24" s="296"/>
      <c r="E24" s="296"/>
      <c r="F24" s="297" t="s">
        <v>183</v>
      </c>
      <c r="G24" s="297"/>
      <c r="H24" s="32" t="s">
        <v>33</v>
      </c>
      <c r="I24" s="274"/>
      <c r="J24" s="67" t="s">
        <v>46</v>
      </c>
      <c r="K24" s="296" t="s">
        <v>200</v>
      </c>
      <c r="L24" s="296"/>
      <c r="M24" s="296"/>
      <c r="N24" s="297" t="s">
        <v>183</v>
      </c>
      <c r="O24" s="297"/>
      <c r="P24" s="32" t="s">
        <v>47</v>
      </c>
      <c r="Q24" s="267"/>
      <c r="T24" s="115" t="s">
        <v>199</v>
      </c>
    </row>
    <row r="25" spans="1:20" ht="30" customHeight="1" thickBot="1" x14ac:dyDescent="0.35">
      <c r="A25" s="263"/>
      <c r="B25" s="69" t="s">
        <v>7</v>
      </c>
      <c r="C25" s="301" t="s">
        <v>193</v>
      </c>
      <c r="D25" s="301"/>
      <c r="E25" s="301"/>
      <c r="F25" s="302" t="s">
        <v>183</v>
      </c>
      <c r="G25" s="302"/>
      <c r="H25" s="34" t="s">
        <v>32</v>
      </c>
      <c r="I25" s="274"/>
      <c r="J25" s="69" t="s">
        <v>44</v>
      </c>
      <c r="K25" s="301" t="s">
        <v>203</v>
      </c>
      <c r="L25" s="301"/>
      <c r="M25" s="301"/>
      <c r="N25" s="302" t="s">
        <v>183</v>
      </c>
      <c r="O25" s="302"/>
      <c r="P25" s="34" t="s">
        <v>45</v>
      </c>
      <c r="Q25" s="267"/>
      <c r="T25" s="115" t="s">
        <v>200</v>
      </c>
    </row>
    <row r="26" spans="1:20" ht="30" customHeight="1" thickBot="1" x14ac:dyDescent="0.35">
      <c r="A26" s="264"/>
      <c r="B26" s="276"/>
      <c r="C26" s="276"/>
      <c r="D26" s="276"/>
      <c r="E26" s="276"/>
      <c r="F26" s="276"/>
      <c r="G26" s="276"/>
      <c r="H26" s="276"/>
      <c r="I26" s="276"/>
      <c r="J26" s="276"/>
      <c r="K26" s="276"/>
      <c r="L26" s="276"/>
      <c r="M26" s="276"/>
      <c r="N26" s="276"/>
      <c r="O26" s="276"/>
      <c r="P26" s="276"/>
      <c r="Q26" s="268"/>
      <c r="T26" s="115" t="s">
        <v>201</v>
      </c>
    </row>
    <row r="27" spans="1:20" ht="9.9" customHeight="1" x14ac:dyDescent="0.3">
      <c r="B27" s="275"/>
      <c r="C27" s="275"/>
      <c r="D27" s="275"/>
      <c r="E27" s="275"/>
      <c r="F27" s="275"/>
      <c r="G27" s="275"/>
      <c r="H27" s="275"/>
      <c r="I27" s="275"/>
      <c r="J27" s="275"/>
      <c r="K27" s="275"/>
      <c r="L27" s="275"/>
      <c r="M27" s="275"/>
      <c r="N27" s="275"/>
      <c r="O27" s="275"/>
      <c r="P27" s="11"/>
    </row>
    <row r="28" spans="1:20" ht="20.100000000000001" customHeight="1" x14ac:dyDescent="0.3"/>
    <row r="29" spans="1:20" ht="20.100000000000001" customHeight="1" x14ac:dyDescent="0.3"/>
    <row r="30" spans="1:20" ht="20.100000000000001" customHeight="1" x14ac:dyDescent="0.3"/>
    <row r="31" spans="1:20" ht="20.100000000000001" customHeight="1" x14ac:dyDescent="0.3"/>
    <row r="32" spans="1:20" ht="20.100000000000001" customHeight="1" x14ac:dyDescent="0.3"/>
    <row r="33" ht="20.100000000000001" customHeight="1" x14ac:dyDescent="0.3"/>
    <row r="34" ht="20.100000000000001" customHeight="1" x14ac:dyDescent="0.3"/>
    <row r="35" ht="20.100000000000001" customHeight="1" x14ac:dyDescent="0.3"/>
    <row r="36" ht="20.100000000000001" customHeight="1" x14ac:dyDescent="0.3"/>
    <row r="37" ht="20.100000000000001" customHeight="1" x14ac:dyDescent="0.3"/>
    <row r="38" ht="20.100000000000001" customHeight="1" x14ac:dyDescent="0.3"/>
    <row r="39" ht="20.100000000000001" customHeight="1" x14ac:dyDescent="0.3"/>
    <row r="40" ht="20.100000000000001" customHeight="1" x14ac:dyDescent="0.3"/>
    <row r="41" ht="20.100000000000001" customHeight="1" x14ac:dyDescent="0.3"/>
    <row r="42" ht="20.100000000000001" customHeight="1" x14ac:dyDescent="0.3"/>
    <row r="43" ht="20.100000000000001" customHeight="1" x14ac:dyDescent="0.3"/>
  </sheetData>
  <mergeCells count="53">
    <mergeCell ref="B27:O27"/>
    <mergeCell ref="C23:E23"/>
    <mergeCell ref="F23:G23"/>
    <mergeCell ref="K23:M23"/>
    <mergeCell ref="N23:O23"/>
    <mergeCell ref="C24:E24"/>
    <mergeCell ref="F24:G24"/>
    <mergeCell ref="K24:M24"/>
    <mergeCell ref="N24:O24"/>
    <mergeCell ref="C25:E25"/>
    <mergeCell ref="F25:G25"/>
    <mergeCell ref="K25:M25"/>
    <mergeCell ref="N25:O25"/>
    <mergeCell ref="B26:P26"/>
    <mergeCell ref="F21:G21"/>
    <mergeCell ref="K21:M21"/>
    <mergeCell ref="N21:O21"/>
    <mergeCell ref="C22:E22"/>
    <mergeCell ref="F22:G22"/>
    <mergeCell ref="K22:M22"/>
    <mergeCell ref="N22:O22"/>
    <mergeCell ref="C17:G17"/>
    <mergeCell ref="I17:I25"/>
    <mergeCell ref="K17:O17"/>
    <mergeCell ref="C18:E18"/>
    <mergeCell ref="F18:G18"/>
    <mergeCell ref="K18:M18"/>
    <mergeCell ref="N18:O18"/>
    <mergeCell ref="C19:E19"/>
    <mergeCell ref="F19:G19"/>
    <mergeCell ref="K19:M19"/>
    <mergeCell ref="N19:O19"/>
    <mergeCell ref="C20:E20"/>
    <mergeCell ref="F20:G20"/>
    <mergeCell ref="K20:M20"/>
    <mergeCell ref="N20:O20"/>
    <mergeCell ref="C21:E21"/>
    <mergeCell ref="N7:P7"/>
    <mergeCell ref="A1:A26"/>
    <mergeCell ref="B1:P1"/>
    <mergeCell ref="Q1:Q26"/>
    <mergeCell ref="B2:P2"/>
    <mergeCell ref="B4:P4"/>
    <mergeCell ref="B5:P5"/>
    <mergeCell ref="B6:P6"/>
    <mergeCell ref="B7:D7"/>
    <mergeCell ref="B3:P3"/>
    <mergeCell ref="E7:E12"/>
    <mergeCell ref="F7:H7"/>
    <mergeCell ref="I7:I12"/>
    <mergeCell ref="J7:L7"/>
    <mergeCell ref="M7:M12"/>
    <mergeCell ref="B15:P15"/>
  </mergeCells>
  <phoneticPr fontId="3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51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11D39A-4BDD-44C9-8F3B-13FF8EC4948A}">
  <sheetPr>
    <pageSetUpPr fitToPage="1"/>
  </sheetPr>
  <dimension ref="A1:AD64"/>
  <sheetViews>
    <sheetView showGridLines="0" tabSelected="1" topLeftCell="A2" zoomScale="85" zoomScaleNormal="85" workbookViewId="0">
      <selection activeCell="B43" sqref="B43:L43"/>
    </sheetView>
  </sheetViews>
  <sheetFormatPr defaultRowHeight="14.4" x14ac:dyDescent="0.3"/>
  <cols>
    <col min="1" max="1" width="5.33203125" customWidth="1"/>
    <col min="2" max="6" width="8.6640625" customWidth="1"/>
    <col min="7" max="7" width="34.6640625" customWidth="1"/>
    <col min="8" max="8" width="10.6640625" style="1" customWidth="1"/>
    <col min="9" max="9" width="6.6640625" customWidth="1"/>
    <col min="10" max="10" width="10.6640625" style="1" customWidth="1"/>
    <col min="11" max="11" width="34.6640625" customWidth="1"/>
    <col min="12" max="12" width="8.6640625" customWidth="1"/>
    <col min="13" max="15" width="5.33203125" customWidth="1"/>
    <col min="16" max="16" width="9.109375" customWidth="1"/>
    <col min="17" max="17" width="29" bestFit="1" customWidth="1"/>
    <col min="18" max="25" width="9.109375" customWidth="1"/>
    <col min="26" max="26" width="14.44140625" customWidth="1"/>
    <col min="27" max="28" width="5.33203125" customWidth="1"/>
    <col min="29" max="29" width="9.109375" customWidth="1"/>
    <col min="30" max="30" width="21.33203125" customWidth="1"/>
    <col min="31" max="31" width="9.109375" customWidth="1"/>
  </cols>
  <sheetData>
    <row r="1" spans="1:30" ht="30" customHeight="1" thickBot="1" x14ac:dyDescent="0.35">
      <c r="A1" s="166"/>
      <c r="B1" s="167"/>
      <c r="C1" s="167"/>
      <c r="D1" s="167"/>
      <c r="E1" s="167"/>
      <c r="F1" s="167"/>
      <c r="G1" s="167"/>
      <c r="H1" s="167"/>
      <c r="I1" s="167"/>
      <c r="J1" s="167"/>
      <c r="K1" s="167"/>
      <c r="L1" s="167"/>
      <c r="M1" s="168"/>
    </row>
    <row r="2" spans="1:30" ht="65.099999999999994" customHeight="1" x14ac:dyDescent="0.3">
      <c r="A2" s="157"/>
      <c r="B2" s="283" t="s">
        <v>116</v>
      </c>
      <c r="C2" s="284"/>
      <c r="D2" s="284"/>
      <c r="E2" s="284"/>
      <c r="F2" s="284"/>
      <c r="G2" s="284"/>
      <c r="H2" s="284"/>
      <c r="I2" s="284"/>
      <c r="J2" s="284"/>
      <c r="K2" s="284"/>
      <c r="L2" s="285"/>
      <c r="M2" s="158"/>
    </row>
    <row r="3" spans="1:30" ht="40.049999999999997" customHeight="1" thickBot="1" x14ac:dyDescent="0.35">
      <c r="A3" s="157"/>
      <c r="B3" s="286" t="s">
        <v>115</v>
      </c>
      <c r="C3" s="287"/>
      <c r="D3" s="287"/>
      <c r="E3" s="287"/>
      <c r="F3" s="287"/>
      <c r="G3" s="287"/>
      <c r="H3" s="287"/>
      <c r="I3" s="287"/>
      <c r="J3" s="287"/>
      <c r="K3" s="287"/>
      <c r="L3" s="288"/>
      <c r="M3" s="158"/>
    </row>
    <row r="4" spans="1:30" ht="40.049999999999997" customHeight="1" thickBot="1" x14ac:dyDescent="0.35">
      <c r="A4" s="157"/>
      <c r="B4" s="165" t="s">
        <v>181</v>
      </c>
      <c r="C4" s="165"/>
      <c r="D4" s="165"/>
      <c r="E4" s="165"/>
      <c r="F4" s="165"/>
      <c r="G4" s="165"/>
      <c r="H4" s="165"/>
      <c r="I4" s="165"/>
      <c r="J4" s="165"/>
      <c r="K4" s="165"/>
      <c r="L4" s="165"/>
      <c r="M4" s="158"/>
      <c r="O4" s="45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46"/>
    </row>
    <row r="5" spans="1:30" ht="40.049999999999997" customHeight="1" thickBot="1" x14ac:dyDescent="0.35">
      <c r="A5" s="157"/>
      <c r="B5" s="178" t="s">
        <v>117</v>
      </c>
      <c r="C5" s="179"/>
      <c r="D5" s="179"/>
      <c r="E5" s="179"/>
      <c r="F5" s="179"/>
      <c r="G5" s="179"/>
      <c r="H5" s="179"/>
      <c r="I5" s="179"/>
      <c r="J5" s="179"/>
      <c r="K5" s="179"/>
      <c r="L5" s="180"/>
      <c r="M5" s="158"/>
      <c r="O5" s="47"/>
      <c r="P5" s="172" t="s">
        <v>98</v>
      </c>
      <c r="Q5" s="173"/>
      <c r="R5" s="173"/>
      <c r="S5" s="173"/>
      <c r="T5" s="173"/>
      <c r="U5" s="173"/>
      <c r="V5" s="173"/>
      <c r="W5" s="173"/>
      <c r="X5" s="173"/>
      <c r="Y5" s="173"/>
      <c r="Z5" s="174"/>
      <c r="AA5" s="48"/>
    </row>
    <row r="6" spans="1:30" ht="30" customHeight="1" thickBot="1" x14ac:dyDescent="0.35">
      <c r="A6" s="157"/>
      <c r="B6" s="138"/>
      <c r="C6" s="138"/>
      <c r="D6" s="138"/>
      <c r="E6" s="138"/>
      <c r="F6" s="138"/>
      <c r="G6" s="138"/>
      <c r="H6" s="138"/>
      <c r="I6" s="138"/>
      <c r="J6" s="138"/>
      <c r="K6" s="138"/>
      <c r="L6" s="138"/>
      <c r="M6" s="158"/>
      <c r="O6" s="47"/>
      <c r="AA6" s="48"/>
      <c r="AC6" s="136" t="s">
        <v>102</v>
      </c>
      <c r="AD6" s="137"/>
    </row>
    <row r="7" spans="1:30" ht="30" customHeight="1" thickBot="1" x14ac:dyDescent="0.35">
      <c r="A7" s="157"/>
      <c r="B7" s="139" t="s">
        <v>22</v>
      </c>
      <c r="C7" s="140"/>
      <c r="D7" s="140"/>
      <c r="E7" s="140"/>
      <c r="F7" s="140"/>
      <c r="G7" s="140"/>
      <c r="H7" s="140"/>
      <c r="I7" s="140"/>
      <c r="J7" s="140"/>
      <c r="K7" s="140"/>
      <c r="L7" s="141"/>
      <c r="M7" s="158"/>
      <c r="O7" s="47"/>
      <c r="P7" s="146" t="s">
        <v>19</v>
      </c>
      <c r="Q7" s="147"/>
      <c r="R7" s="143" t="s">
        <v>95</v>
      </c>
      <c r="S7" s="144"/>
      <c r="T7" s="144"/>
      <c r="U7" s="144"/>
      <c r="V7" s="144"/>
      <c r="W7" s="145"/>
      <c r="X7" s="150" t="s">
        <v>96</v>
      </c>
      <c r="Y7" s="151"/>
      <c r="Z7" s="152"/>
      <c r="AA7" s="48"/>
      <c r="AC7" s="15" t="s">
        <v>104</v>
      </c>
      <c r="AD7" s="81" t="s">
        <v>103</v>
      </c>
    </row>
    <row r="8" spans="1:30" ht="30" customHeight="1" thickBot="1" x14ac:dyDescent="0.35">
      <c r="A8" s="157"/>
      <c r="B8" s="25" t="s">
        <v>8</v>
      </c>
      <c r="C8" s="26" t="s">
        <v>18</v>
      </c>
      <c r="D8" s="26" t="s">
        <v>9</v>
      </c>
      <c r="E8" s="26" t="s">
        <v>10</v>
      </c>
      <c r="F8" s="26" t="s">
        <v>52</v>
      </c>
      <c r="G8" s="26" t="s">
        <v>11</v>
      </c>
      <c r="H8" s="26"/>
      <c r="I8" s="26"/>
      <c r="J8" s="26"/>
      <c r="K8" s="26" t="s">
        <v>12</v>
      </c>
      <c r="L8" s="27" t="s">
        <v>52</v>
      </c>
      <c r="M8" s="158"/>
      <c r="O8" s="47"/>
      <c r="P8" s="148"/>
      <c r="Q8" s="149"/>
      <c r="R8" s="77" t="s">
        <v>104</v>
      </c>
      <c r="S8" s="79" t="s">
        <v>92</v>
      </c>
      <c r="T8" s="77" t="s">
        <v>104</v>
      </c>
      <c r="U8" s="79" t="s">
        <v>92</v>
      </c>
      <c r="V8" s="77" t="s">
        <v>104</v>
      </c>
      <c r="W8" s="80" t="s">
        <v>92</v>
      </c>
      <c r="X8" s="77" t="s">
        <v>106</v>
      </c>
      <c r="Y8" s="78" t="s">
        <v>94</v>
      </c>
      <c r="Z8" s="79" t="s">
        <v>97</v>
      </c>
      <c r="AA8" s="48"/>
      <c r="AC8" s="2" t="s">
        <v>92</v>
      </c>
      <c r="AD8" s="82" t="s">
        <v>105</v>
      </c>
    </row>
    <row r="9" spans="1:30" ht="30" customHeight="1" x14ac:dyDescent="0.3">
      <c r="A9" s="157"/>
      <c r="B9" s="28">
        <v>1</v>
      </c>
      <c r="C9" s="22" t="s">
        <v>16</v>
      </c>
      <c r="D9" s="22" t="s">
        <v>205</v>
      </c>
      <c r="E9" s="22"/>
      <c r="F9" s="98" t="s">
        <v>28</v>
      </c>
      <c r="G9" s="103" t="str">
        <f>GRUPOS!C9</f>
        <v>Brunele N./Milena Menezes</v>
      </c>
      <c r="H9" s="12"/>
      <c r="I9" s="12" t="s">
        <v>13</v>
      </c>
      <c r="J9" s="12"/>
      <c r="K9" s="104" t="str">
        <f>GRUPOS!C12</f>
        <v>Isabela Monteiro/Marina Vasc.</v>
      </c>
      <c r="L9" s="99" t="s">
        <v>45</v>
      </c>
      <c r="M9" s="158"/>
      <c r="O9" s="47"/>
      <c r="P9" s="15" t="s">
        <v>28</v>
      </c>
      <c r="Q9" s="81" t="str">
        <f>GRUPOS!C18</f>
        <v>Brunele N./Milena Menezes</v>
      </c>
      <c r="R9" s="75">
        <f>H9</f>
        <v>0</v>
      </c>
      <c r="S9" s="74">
        <f>J9</f>
        <v>0</v>
      </c>
      <c r="T9" s="15">
        <f>H17</f>
        <v>0</v>
      </c>
      <c r="U9" s="5">
        <f>J17</f>
        <v>0</v>
      </c>
      <c r="V9" s="15">
        <f>H25</f>
        <v>0</v>
      </c>
      <c r="W9" s="5">
        <f>J25</f>
        <v>0</v>
      </c>
      <c r="X9" s="75">
        <f>R9+T9+V9</f>
        <v>0</v>
      </c>
      <c r="Y9" s="73">
        <f>S9+U9+W9</f>
        <v>0</v>
      </c>
      <c r="Z9" s="74" t="e">
        <f>X9/Y9</f>
        <v>#DIV/0!</v>
      </c>
      <c r="AA9" s="48"/>
      <c r="AC9" s="2" t="s">
        <v>106</v>
      </c>
      <c r="AD9" s="82" t="s">
        <v>107</v>
      </c>
    </row>
    <row r="10" spans="1:30" ht="30" customHeight="1" thickBot="1" x14ac:dyDescent="0.35">
      <c r="A10" s="157"/>
      <c r="B10" s="29">
        <v>2</v>
      </c>
      <c r="C10" s="30" t="s">
        <v>17</v>
      </c>
      <c r="D10" s="30" t="s">
        <v>205</v>
      </c>
      <c r="E10" s="30"/>
      <c r="F10" s="31" t="s">
        <v>29</v>
      </c>
      <c r="G10" s="84" t="str">
        <f>GRUPOS!G9</f>
        <v>Luana/Juliane</v>
      </c>
      <c r="H10" s="31"/>
      <c r="I10" s="31" t="s">
        <v>13</v>
      </c>
      <c r="J10" s="31"/>
      <c r="K10" s="105" t="str">
        <f>GRUPOS!G12</f>
        <v>⁠Manu Gomes/Julia Evelyn</v>
      </c>
      <c r="L10" s="32" t="s">
        <v>47</v>
      </c>
      <c r="M10" s="158"/>
      <c r="O10" s="47"/>
      <c r="P10" s="2" t="s">
        <v>32</v>
      </c>
      <c r="Q10" s="82" t="str">
        <f>GRUPOS!C25</f>
        <v>Alciene/Marina</v>
      </c>
      <c r="R10" s="2">
        <f>H13</f>
        <v>0</v>
      </c>
      <c r="S10" s="7">
        <f>J13</f>
        <v>0</v>
      </c>
      <c r="T10" s="75">
        <f>H21</f>
        <v>0</v>
      </c>
      <c r="U10" s="74">
        <f>J21</f>
        <v>0</v>
      </c>
      <c r="V10" s="75">
        <f>J25</f>
        <v>0</v>
      </c>
      <c r="W10" s="74">
        <f>H25</f>
        <v>0</v>
      </c>
      <c r="X10" s="2">
        <f t="shared" ref="X10:X12" si="0">R10+T10+V10</f>
        <v>0</v>
      </c>
      <c r="Y10" s="6">
        <f t="shared" ref="Y10:Y12" si="1">S10+U10+W10</f>
        <v>0</v>
      </c>
      <c r="Z10" s="7" t="e">
        <f t="shared" ref="Z10:Z12" si="2">X10/Y10</f>
        <v>#DIV/0!</v>
      </c>
      <c r="AA10" s="48"/>
      <c r="AC10" s="3" t="s">
        <v>93</v>
      </c>
      <c r="AD10" s="83" t="s">
        <v>108</v>
      </c>
    </row>
    <row r="11" spans="1:30" ht="30" customHeight="1" x14ac:dyDescent="0.3">
      <c r="A11" s="157"/>
      <c r="B11" s="29">
        <v>3</v>
      </c>
      <c r="C11" s="30" t="s">
        <v>53</v>
      </c>
      <c r="D11" s="30" t="s">
        <v>206</v>
      </c>
      <c r="E11" s="30"/>
      <c r="F11" s="100" t="s">
        <v>30</v>
      </c>
      <c r="G11" s="84" t="str">
        <f>GRUPOS!K9</f>
        <v>Camila/Fabi</v>
      </c>
      <c r="H11" s="31"/>
      <c r="I11" s="31" t="s">
        <v>13</v>
      </c>
      <c r="J11" s="31"/>
      <c r="K11" s="105" t="str">
        <f>GRUPOS!K12</f>
        <v>Tata Bonini/Duda Rocha</v>
      </c>
      <c r="L11" s="101" t="s">
        <v>49</v>
      </c>
      <c r="M11" s="158"/>
      <c r="O11" s="47"/>
      <c r="P11" s="2" t="s">
        <v>37</v>
      </c>
      <c r="Q11" s="82" t="str">
        <f>GRUPOS!K18</f>
        <v>Dani Costa/Lígia</v>
      </c>
      <c r="R11" s="2">
        <f>J13</f>
        <v>0</v>
      </c>
      <c r="S11" s="7">
        <f>H13</f>
        <v>0</v>
      </c>
      <c r="T11" s="75">
        <f>J17</f>
        <v>0</v>
      </c>
      <c r="U11" s="74">
        <f>H17</f>
        <v>0</v>
      </c>
      <c r="V11" s="75">
        <f>H29</f>
        <v>0</v>
      </c>
      <c r="W11" s="74">
        <f>J29</f>
        <v>0</v>
      </c>
      <c r="X11" s="2">
        <f t="shared" si="0"/>
        <v>0</v>
      </c>
      <c r="Y11" s="6">
        <f t="shared" si="1"/>
        <v>0</v>
      </c>
      <c r="Z11" s="7" t="e">
        <f t="shared" si="2"/>
        <v>#DIV/0!</v>
      </c>
      <c r="AA11" s="48"/>
    </row>
    <row r="12" spans="1:30" ht="30" customHeight="1" thickBot="1" x14ac:dyDescent="0.35">
      <c r="A12" s="157"/>
      <c r="B12" s="33">
        <v>4</v>
      </c>
      <c r="C12" s="23" t="s">
        <v>54</v>
      </c>
      <c r="D12" s="23" t="s">
        <v>206</v>
      </c>
      <c r="E12" s="23"/>
      <c r="F12" s="13" t="s">
        <v>31</v>
      </c>
      <c r="G12" s="85" t="str">
        <f>GRUPOS!O9</f>
        <v>Julli/Rayanne</v>
      </c>
      <c r="H12" s="13"/>
      <c r="I12" s="13" t="s">
        <v>13</v>
      </c>
      <c r="J12" s="13"/>
      <c r="K12" s="106" t="str">
        <f>GRUPOS!O12</f>
        <v>Rafa Silva/Julia Klin</v>
      </c>
      <c r="L12" s="34" t="s">
        <v>51</v>
      </c>
      <c r="M12" s="158"/>
      <c r="O12" s="47"/>
      <c r="P12" s="3" t="s">
        <v>45</v>
      </c>
      <c r="Q12" s="83" t="str">
        <f>GRUPOS!K25</f>
        <v>Isabela Monteiro/Marina Vasc.</v>
      </c>
      <c r="R12" s="3">
        <f>J9</f>
        <v>0</v>
      </c>
      <c r="S12" s="54">
        <f>H9</f>
        <v>0</v>
      </c>
      <c r="T12" s="107">
        <f>J21</f>
        <v>0</v>
      </c>
      <c r="U12" s="108">
        <f>H21</f>
        <v>0</v>
      </c>
      <c r="V12" s="107">
        <f>J29</f>
        <v>0</v>
      </c>
      <c r="W12" s="108">
        <f>H29</f>
        <v>0</v>
      </c>
      <c r="X12" s="3">
        <f t="shared" si="0"/>
        <v>0</v>
      </c>
      <c r="Y12" s="4">
        <f t="shared" si="1"/>
        <v>0</v>
      </c>
      <c r="Z12" s="54" t="e">
        <f t="shared" si="2"/>
        <v>#DIV/0!</v>
      </c>
      <c r="AA12" s="48"/>
    </row>
    <row r="13" spans="1:30" ht="30" customHeight="1" thickBot="1" x14ac:dyDescent="0.35">
      <c r="A13" s="157"/>
      <c r="B13" s="28">
        <v>5</v>
      </c>
      <c r="C13" s="22" t="s">
        <v>16</v>
      </c>
      <c r="D13" s="22" t="s">
        <v>207</v>
      </c>
      <c r="E13" s="22"/>
      <c r="F13" s="98" t="s">
        <v>32</v>
      </c>
      <c r="G13" s="103" t="str">
        <f>GRUPOS!C10</f>
        <v>Alciene/Marina</v>
      </c>
      <c r="H13" s="12"/>
      <c r="I13" s="12" t="s">
        <v>13</v>
      </c>
      <c r="J13" s="12"/>
      <c r="K13" s="104" t="str">
        <f>GRUPOS!C11</f>
        <v>Dani Costa/Lígia</v>
      </c>
      <c r="L13" s="99" t="s">
        <v>37</v>
      </c>
      <c r="M13" s="158"/>
      <c r="O13" s="47"/>
      <c r="AA13" s="48"/>
    </row>
    <row r="14" spans="1:30" ht="30" customHeight="1" thickBot="1" x14ac:dyDescent="0.35">
      <c r="A14" s="157"/>
      <c r="B14" s="29">
        <v>6</v>
      </c>
      <c r="C14" s="30" t="s">
        <v>17</v>
      </c>
      <c r="D14" s="30" t="s">
        <v>207</v>
      </c>
      <c r="E14" s="30"/>
      <c r="F14" s="31" t="s">
        <v>33</v>
      </c>
      <c r="G14" s="84" t="str">
        <f>GRUPOS!G10</f>
        <v>Fran/Karu</v>
      </c>
      <c r="H14" s="31"/>
      <c r="I14" s="31" t="s">
        <v>13</v>
      </c>
      <c r="J14" s="31"/>
      <c r="K14" s="105" t="str">
        <f>GRUPOS!G11</f>
        <v>Juliana/Bruna Caltabiano</v>
      </c>
      <c r="L14" s="32" t="s">
        <v>39</v>
      </c>
      <c r="M14" s="158"/>
      <c r="O14" s="47"/>
      <c r="P14" s="146" t="s">
        <v>20</v>
      </c>
      <c r="Q14" s="147"/>
      <c r="R14" s="143" t="s">
        <v>95</v>
      </c>
      <c r="S14" s="144"/>
      <c r="T14" s="144"/>
      <c r="U14" s="144"/>
      <c r="V14" s="144"/>
      <c r="W14" s="145"/>
      <c r="X14" s="150" t="s">
        <v>96</v>
      </c>
      <c r="Y14" s="151"/>
      <c r="Z14" s="152"/>
      <c r="AA14" s="48"/>
    </row>
    <row r="15" spans="1:30" ht="30" customHeight="1" thickBot="1" x14ac:dyDescent="0.35">
      <c r="A15" s="157"/>
      <c r="B15" s="29">
        <v>7</v>
      </c>
      <c r="C15" s="30" t="s">
        <v>53</v>
      </c>
      <c r="D15" s="30" t="s">
        <v>208</v>
      </c>
      <c r="E15" s="30"/>
      <c r="F15" s="31" t="s">
        <v>34</v>
      </c>
      <c r="G15" s="84" t="str">
        <f>GRUPOS!K10</f>
        <v>Sergi/Suzi</v>
      </c>
      <c r="H15" s="102"/>
      <c r="I15" s="31" t="s">
        <v>13</v>
      </c>
      <c r="J15" s="31"/>
      <c r="K15" s="105" t="str">
        <f>GRUPOS!K11</f>
        <v>Iza/Ray</v>
      </c>
      <c r="L15" s="32" t="s">
        <v>41</v>
      </c>
      <c r="M15" s="158"/>
      <c r="O15" s="47"/>
      <c r="P15" s="148"/>
      <c r="Q15" s="149"/>
      <c r="R15" s="77" t="s">
        <v>104</v>
      </c>
      <c r="S15" s="79" t="s">
        <v>92</v>
      </c>
      <c r="T15" s="77" t="s">
        <v>104</v>
      </c>
      <c r="U15" s="79" t="s">
        <v>92</v>
      </c>
      <c r="V15" s="77" t="s">
        <v>104</v>
      </c>
      <c r="W15" s="80" t="s">
        <v>92</v>
      </c>
      <c r="X15" s="77" t="s">
        <v>106</v>
      </c>
      <c r="Y15" s="78" t="s">
        <v>94</v>
      </c>
      <c r="Z15" s="79" t="s">
        <v>97</v>
      </c>
      <c r="AA15" s="48"/>
    </row>
    <row r="16" spans="1:30" ht="30" customHeight="1" thickBot="1" x14ac:dyDescent="0.35">
      <c r="A16" s="157"/>
      <c r="B16" s="33">
        <v>8</v>
      </c>
      <c r="C16" s="23" t="s">
        <v>54</v>
      </c>
      <c r="D16" s="23" t="s">
        <v>208</v>
      </c>
      <c r="E16" s="23"/>
      <c r="F16" s="13" t="s">
        <v>35</v>
      </c>
      <c r="G16" s="85" t="str">
        <f>GRUPOS!O10</f>
        <v>Sarah/Marina Santos</v>
      </c>
      <c r="H16" s="13"/>
      <c r="I16" s="13" t="s">
        <v>13</v>
      </c>
      <c r="J16" s="13"/>
      <c r="K16" s="106" t="str">
        <f>GRUPOS!O11</f>
        <v>Lili/Gadelha</v>
      </c>
      <c r="L16" s="34" t="s">
        <v>43</v>
      </c>
      <c r="M16" s="158"/>
      <c r="O16" s="47"/>
      <c r="P16" s="15" t="s">
        <v>29</v>
      </c>
      <c r="Q16" s="81" t="str">
        <f>GRUPOS!C19</f>
        <v>Luana/Juliane</v>
      </c>
      <c r="R16" s="75">
        <f>H10</f>
        <v>0</v>
      </c>
      <c r="S16" s="74">
        <f>J10</f>
        <v>0</v>
      </c>
      <c r="T16" s="75">
        <f>H18</f>
        <v>0</v>
      </c>
      <c r="U16" s="74">
        <f>J18</f>
        <v>0</v>
      </c>
      <c r="V16" s="75">
        <f>H26</f>
        <v>0</v>
      </c>
      <c r="W16" s="76">
        <f>J26</f>
        <v>0</v>
      </c>
      <c r="X16" s="75">
        <f>R16+T16+V16</f>
        <v>0</v>
      </c>
      <c r="Y16" s="73">
        <f>S16+U16+W16</f>
        <v>0</v>
      </c>
      <c r="Z16" s="74" t="e">
        <f>X16/Y16</f>
        <v>#DIV/0!</v>
      </c>
      <c r="AA16" s="48"/>
    </row>
    <row r="17" spans="1:27" ht="30" customHeight="1" x14ac:dyDescent="0.3">
      <c r="A17" s="157"/>
      <c r="B17" s="28">
        <v>9</v>
      </c>
      <c r="C17" s="22" t="s">
        <v>16</v>
      </c>
      <c r="D17" s="22" t="s">
        <v>209</v>
      </c>
      <c r="E17" s="22"/>
      <c r="F17" s="12" t="s">
        <v>28</v>
      </c>
      <c r="G17" s="37" t="str">
        <f>GRUPOS!C9</f>
        <v>Brunele N./Milena Menezes</v>
      </c>
      <c r="H17" s="12"/>
      <c r="I17" s="12" t="s">
        <v>13</v>
      </c>
      <c r="J17" s="12"/>
      <c r="K17" s="104" t="str">
        <f>GRUPOS!C11</f>
        <v>Dani Costa/Lígia</v>
      </c>
      <c r="L17" s="35" t="s">
        <v>37</v>
      </c>
      <c r="M17" s="158"/>
      <c r="O17" s="47"/>
      <c r="P17" s="2" t="s">
        <v>33</v>
      </c>
      <c r="Q17" s="82" t="str">
        <f>GRUPOS!C24</f>
        <v>Fran/Karu</v>
      </c>
      <c r="R17" s="2">
        <f>H14</f>
        <v>0</v>
      </c>
      <c r="S17" s="7">
        <f>J14</f>
        <v>0</v>
      </c>
      <c r="T17" s="2">
        <f>H22</f>
        <v>0</v>
      </c>
      <c r="U17" s="7">
        <f>J22</f>
        <v>0</v>
      </c>
      <c r="V17" s="2">
        <f>J26</f>
        <v>0</v>
      </c>
      <c r="W17" s="10">
        <f>H26</f>
        <v>0</v>
      </c>
      <c r="X17" s="2">
        <f t="shared" ref="X17:X19" si="3">R17+T17+V17</f>
        <v>0</v>
      </c>
      <c r="Y17" s="6">
        <f t="shared" ref="Y17:Y19" si="4">S17+U17+W17</f>
        <v>0</v>
      </c>
      <c r="Z17" s="7" t="e">
        <f t="shared" ref="Z17:Z19" si="5">X17/Y17</f>
        <v>#DIV/0!</v>
      </c>
      <c r="AA17" s="48"/>
    </row>
    <row r="18" spans="1:27" ht="30" customHeight="1" x14ac:dyDescent="0.3">
      <c r="A18" s="157"/>
      <c r="B18" s="29">
        <v>10</v>
      </c>
      <c r="C18" s="30" t="s">
        <v>17</v>
      </c>
      <c r="D18" s="30" t="s">
        <v>209</v>
      </c>
      <c r="E18" s="30"/>
      <c r="F18" s="31" t="s">
        <v>29</v>
      </c>
      <c r="G18" s="39" t="str">
        <f>GRUPOS!G9</f>
        <v>Luana/Juliane</v>
      </c>
      <c r="H18" s="31"/>
      <c r="I18" s="31" t="s">
        <v>13</v>
      </c>
      <c r="J18" s="31"/>
      <c r="K18" s="105" t="str">
        <f>GRUPOS!G11</f>
        <v>Juliana/Bruna Caltabiano</v>
      </c>
      <c r="L18" s="32" t="s">
        <v>39</v>
      </c>
      <c r="M18" s="158"/>
      <c r="O18" s="47"/>
      <c r="P18" s="2" t="s">
        <v>39</v>
      </c>
      <c r="Q18" s="82" t="str">
        <f>GRUPOS!K19</f>
        <v>Juliana/Bruna Caltabiano</v>
      </c>
      <c r="R18" s="2">
        <f>J14</f>
        <v>0</v>
      </c>
      <c r="S18" s="7">
        <f>H14</f>
        <v>0</v>
      </c>
      <c r="T18" s="2">
        <f>J18</f>
        <v>0</v>
      </c>
      <c r="U18" s="7">
        <f>H18</f>
        <v>0</v>
      </c>
      <c r="V18" s="2">
        <f>H30</f>
        <v>0</v>
      </c>
      <c r="W18" s="10">
        <f>J30</f>
        <v>0</v>
      </c>
      <c r="X18" s="2">
        <f t="shared" si="3"/>
        <v>0</v>
      </c>
      <c r="Y18" s="6">
        <f t="shared" si="4"/>
        <v>0</v>
      </c>
      <c r="Z18" s="7" t="e">
        <f t="shared" si="5"/>
        <v>#DIV/0!</v>
      </c>
      <c r="AA18" s="48"/>
    </row>
    <row r="19" spans="1:27" ht="30" customHeight="1" thickBot="1" x14ac:dyDescent="0.35">
      <c r="A19" s="157"/>
      <c r="B19" s="29">
        <v>11</v>
      </c>
      <c r="C19" s="30" t="s">
        <v>53</v>
      </c>
      <c r="D19" s="30" t="s">
        <v>210</v>
      </c>
      <c r="E19" s="30"/>
      <c r="F19" s="31" t="s">
        <v>30</v>
      </c>
      <c r="G19" s="84" t="str">
        <f>GRUPOS!K9</f>
        <v>Camila/Fabi</v>
      </c>
      <c r="H19" s="31"/>
      <c r="I19" s="31" t="s">
        <v>13</v>
      </c>
      <c r="J19" s="31"/>
      <c r="K19" s="105" t="str">
        <f>GRUPOS!K11</f>
        <v>Iza/Ray</v>
      </c>
      <c r="L19" s="32" t="s">
        <v>41</v>
      </c>
      <c r="M19" s="158"/>
      <c r="O19" s="47"/>
      <c r="P19" s="3" t="s">
        <v>47</v>
      </c>
      <c r="Q19" s="83" t="str">
        <f>GRUPOS!K24</f>
        <v>⁠Manu Gomes/Julia Evelyn</v>
      </c>
      <c r="R19" s="3">
        <f>J10</f>
        <v>0</v>
      </c>
      <c r="S19" s="54">
        <f>H10</f>
        <v>0</v>
      </c>
      <c r="T19" s="3">
        <f>J22</f>
        <v>0</v>
      </c>
      <c r="U19" s="54">
        <f>H22</f>
        <v>0</v>
      </c>
      <c r="V19" s="3">
        <f>J30</f>
        <v>0</v>
      </c>
      <c r="W19" s="55">
        <f>H30</f>
        <v>0</v>
      </c>
      <c r="X19" s="3">
        <f t="shared" si="3"/>
        <v>0</v>
      </c>
      <c r="Y19" s="4">
        <f t="shared" si="4"/>
        <v>0</v>
      </c>
      <c r="Z19" s="54" t="e">
        <f t="shared" si="5"/>
        <v>#DIV/0!</v>
      </c>
      <c r="AA19" s="48"/>
    </row>
    <row r="20" spans="1:27" ht="30" customHeight="1" thickBot="1" x14ac:dyDescent="0.35">
      <c r="A20" s="157"/>
      <c r="B20" s="33">
        <v>12</v>
      </c>
      <c r="C20" s="23" t="s">
        <v>54</v>
      </c>
      <c r="D20" s="23" t="s">
        <v>210</v>
      </c>
      <c r="E20" s="23"/>
      <c r="F20" s="13" t="s">
        <v>31</v>
      </c>
      <c r="G20" s="85" t="str">
        <f>GRUPOS!O9</f>
        <v>Julli/Rayanne</v>
      </c>
      <c r="H20" s="13"/>
      <c r="I20" s="13" t="s">
        <v>13</v>
      </c>
      <c r="J20" s="13"/>
      <c r="K20" s="106" t="str">
        <f>GRUPOS!O11</f>
        <v>Lili/Gadelha</v>
      </c>
      <c r="L20" s="34" t="s">
        <v>43</v>
      </c>
      <c r="M20" s="158"/>
      <c r="O20" s="47"/>
      <c r="AA20" s="48"/>
    </row>
    <row r="21" spans="1:27" ht="30" customHeight="1" thickBot="1" x14ac:dyDescent="0.35">
      <c r="A21" s="157"/>
      <c r="B21" s="28">
        <v>13</v>
      </c>
      <c r="C21" s="22" t="s">
        <v>16</v>
      </c>
      <c r="D21" s="22" t="s">
        <v>68</v>
      </c>
      <c r="E21" s="22"/>
      <c r="F21" s="12" t="s">
        <v>32</v>
      </c>
      <c r="G21" s="103" t="str">
        <f>GRUPOS!C10</f>
        <v>Alciene/Marina</v>
      </c>
      <c r="H21" s="12"/>
      <c r="I21" s="12" t="s">
        <v>13</v>
      </c>
      <c r="J21" s="12"/>
      <c r="K21" s="104" t="str">
        <f>GRUPOS!C12</f>
        <v>Isabela Monteiro/Marina Vasc.</v>
      </c>
      <c r="L21" s="35" t="s">
        <v>45</v>
      </c>
      <c r="M21" s="158"/>
      <c r="O21" s="47"/>
      <c r="P21" s="146" t="s">
        <v>24</v>
      </c>
      <c r="Q21" s="147"/>
      <c r="R21" s="143" t="s">
        <v>95</v>
      </c>
      <c r="S21" s="144"/>
      <c r="T21" s="144"/>
      <c r="U21" s="144"/>
      <c r="V21" s="144"/>
      <c r="W21" s="145"/>
      <c r="X21" s="150" t="s">
        <v>96</v>
      </c>
      <c r="Y21" s="151"/>
      <c r="Z21" s="152"/>
      <c r="AA21" s="48"/>
    </row>
    <row r="22" spans="1:27" ht="30" customHeight="1" thickBot="1" x14ac:dyDescent="0.35">
      <c r="A22" s="157"/>
      <c r="B22" s="29">
        <v>14</v>
      </c>
      <c r="C22" s="30" t="s">
        <v>17</v>
      </c>
      <c r="D22" s="30" t="s">
        <v>69</v>
      </c>
      <c r="E22" s="30"/>
      <c r="F22" s="31" t="s">
        <v>33</v>
      </c>
      <c r="G22" s="84" t="str">
        <f>GRUPOS!G10</f>
        <v>Fran/Karu</v>
      </c>
      <c r="H22" s="31"/>
      <c r="I22" s="31" t="s">
        <v>13</v>
      </c>
      <c r="J22" s="31"/>
      <c r="K22" s="105" t="str">
        <f>GRUPOS!G12</f>
        <v>⁠Manu Gomes/Julia Evelyn</v>
      </c>
      <c r="L22" s="32" t="s">
        <v>47</v>
      </c>
      <c r="M22" s="158"/>
      <c r="O22" s="47"/>
      <c r="P22" s="148"/>
      <c r="Q22" s="149"/>
      <c r="R22" s="77" t="s">
        <v>104</v>
      </c>
      <c r="S22" s="79" t="s">
        <v>92</v>
      </c>
      <c r="T22" s="77" t="s">
        <v>104</v>
      </c>
      <c r="U22" s="79" t="s">
        <v>92</v>
      </c>
      <c r="V22" s="77" t="s">
        <v>104</v>
      </c>
      <c r="W22" s="80" t="s">
        <v>92</v>
      </c>
      <c r="X22" s="77" t="s">
        <v>106</v>
      </c>
      <c r="Y22" s="78" t="s">
        <v>94</v>
      </c>
      <c r="Z22" s="79" t="s">
        <v>97</v>
      </c>
      <c r="AA22" s="48"/>
    </row>
    <row r="23" spans="1:27" ht="30" customHeight="1" x14ac:dyDescent="0.3">
      <c r="A23" s="157"/>
      <c r="B23" s="29">
        <v>15</v>
      </c>
      <c r="C23" s="30" t="s">
        <v>53</v>
      </c>
      <c r="D23" s="30" t="s">
        <v>70</v>
      </c>
      <c r="E23" s="30"/>
      <c r="F23" s="31" t="s">
        <v>34</v>
      </c>
      <c r="G23" s="84" t="str">
        <f>GRUPOS!K10</f>
        <v>Sergi/Suzi</v>
      </c>
      <c r="H23" s="31"/>
      <c r="I23" s="31" t="s">
        <v>13</v>
      </c>
      <c r="J23" s="31"/>
      <c r="K23" s="105" t="str">
        <f>GRUPOS!K12</f>
        <v>Tata Bonini/Duda Rocha</v>
      </c>
      <c r="L23" s="32" t="s">
        <v>49</v>
      </c>
      <c r="M23" s="158"/>
      <c r="O23" s="47"/>
      <c r="P23" s="15" t="s">
        <v>30</v>
      </c>
      <c r="Q23" s="81" t="str">
        <f>GRUPOS!C20</f>
        <v>Camila/Fabi</v>
      </c>
      <c r="R23" s="75">
        <f>H11</f>
        <v>0</v>
      </c>
      <c r="S23" s="74">
        <f>J11</f>
        <v>0</v>
      </c>
      <c r="T23" s="75">
        <f>H19</f>
        <v>0</v>
      </c>
      <c r="U23" s="74">
        <f>J19</f>
        <v>0</v>
      </c>
      <c r="V23" s="75">
        <f>H27</f>
        <v>0</v>
      </c>
      <c r="W23" s="76">
        <f>J27</f>
        <v>0</v>
      </c>
      <c r="X23" s="75">
        <f>R23+T23+V23</f>
        <v>0</v>
      </c>
      <c r="Y23" s="73">
        <f>S23+U23+W23</f>
        <v>0</v>
      </c>
      <c r="Z23" s="74" t="e">
        <f>X23/Y23</f>
        <v>#DIV/0!</v>
      </c>
      <c r="AA23" s="48"/>
    </row>
    <row r="24" spans="1:27" ht="30" customHeight="1" thickBot="1" x14ac:dyDescent="0.35">
      <c r="A24" s="157"/>
      <c r="B24" s="33">
        <v>16</v>
      </c>
      <c r="C24" s="23" t="s">
        <v>54</v>
      </c>
      <c r="D24" s="23" t="s">
        <v>71</v>
      </c>
      <c r="E24" s="23"/>
      <c r="F24" s="13" t="s">
        <v>35</v>
      </c>
      <c r="G24" s="85" t="str">
        <f>GRUPOS!O10</f>
        <v>Sarah/Marina Santos</v>
      </c>
      <c r="H24" s="13"/>
      <c r="I24" s="13" t="s">
        <v>13</v>
      </c>
      <c r="J24" s="13"/>
      <c r="K24" s="106" t="str">
        <f>GRUPOS!O12</f>
        <v>Rafa Silva/Julia Klin</v>
      </c>
      <c r="L24" s="34" t="s">
        <v>51</v>
      </c>
      <c r="M24" s="158"/>
      <c r="O24" s="47"/>
      <c r="P24" s="2" t="s">
        <v>34</v>
      </c>
      <c r="Q24" s="82" t="str">
        <f>GRUPOS!C23</f>
        <v>Sergi/Suzi</v>
      </c>
      <c r="R24" s="2">
        <f>H15</f>
        <v>0</v>
      </c>
      <c r="S24" s="7">
        <f>J15</f>
        <v>0</v>
      </c>
      <c r="T24" s="2">
        <f>H23</f>
        <v>0</v>
      </c>
      <c r="U24" s="7">
        <f>J23</f>
        <v>0</v>
      </c>
      <c r="V24" s="2">
        <f>J27</f>
        <v>0</v>
      </c>
      <c r="W24" s="10">
        <f>H27</f>
        <v>0</v>
      </c>
      <c r="X24" s="2">
        <f t="shared" ref="X24:X26" si="6">R24+T24+V24</f>
        <v>0</v>
      </c>
      <c r="Y24" s="6">
        <f t="shared" ref="Y24:Y26" si="7">S24+U24+W24</f>
        <v>0</v>
      </c>
      <c r="Z24" s="7" t="e">
        <f t="shared" ref="Z24:Z26" si="8">X24/Y24</f>
        <v>#DIV/0!</v>
      </c>
      <c r="AA24" s="48"/>
    </row>
    <row r="25" spans="1:27" ht="30" customHeight="1" x14ac:dyDescent="0.3">
      <c r="A25" s="157"/>
      <c r="B25" s="28">
        <v>17</v>
      </c>
      <c r="C25" s="22" t="s">
        <v>16</v>
      </c>
      <c r="D25" s="22" t="s">
        <v>72</v>
      </c>
      <c r="E25" s="22"/>
      <c r="F25" s="12" t="s">
        <v>28</v>
      </c>
      <c r="G25" s="37" t="str">
        <f>GRUPOS!C9</f>
        <v>Brunele N./Milena Menezes</v>
      </c>
      <c r="H25" s="12"/>
      <c r="I25" s="12" t="s">
        <v>13</v>
      </c>
      <c r="J25" s="12"/>
      <c r="K25" s="104" t="str">
        <f>GRUPOS!C10</f>
        <v>Alciene/Marina</v>
      </c>
      <c r="L25" s="35" t="s">
        <v>32</v>
      </c>
      <c r="M25" s="158"/>
      <c r="O25" s="47"/>
      <c r="P25" s="2" t="s">
        <v>41</v>
      </c>
      <c r="Q25" s="82" t="str">
        <f>GRUPOS!K20</f>
        <v>Iza/Ray</v>
      </c>
      <c r="R25" s="2">
        <f>J15</f>
        <v>0</v>
      </c>
      <c r="S25" s="7">
        <f>H15</f>
        <v>0</v>
      </c>
      <c r="T25" s="2">
        <f>J19</f>
        <v>0</v>
      </c>
      <c r="U25" s="7">
        <f>H19</f>
        <v>0</v>
      </c>
      <c r="V25" s="2">
        <f>H31</f>
        <v>0</v>
      </c>
      <c r="W25" s="10">
        <f>J31</f>
        <v>0</v>
      </c>
      <c r="X25" s="2">
        <f t="shared" si="6"/>
        <v>0</v>
      </c>
      <c r="Y25" s="6">
        <f t="shared" si="7"/>
        <v>0</v>
      </c>
      <c r="Z25" s="7" t="e">
        <f t="shared" si="8"/>
        <v>#DIV/0!</v>
      </c>
      <c r="AA25" s="48"/>
    </row>
    <row r="26" spans="1:27" ht="30" customHeight="1" thickBot="1" x14ac:dyDescent="0.35">
      <c r="A26" s="157"/>
      <c r="B26" s="29">
        <v>18</v>
      </c>
      <c r="C26" s="30" t="s">
        <v>17</v>
      </c>
      <c r="D26" s="30" t="s">
        <v>73</v>
      </c>
      <c r="E26" s="30"/>
      <c r="F26" s="31" t="s">
        <v>29</v>
      </c>
      <c r="G26" s="39" t="str">
        <f>GRUPOS!G9</f>
        <v>Luana/Juliane</v>
      </c>
      <c r="H26" s="31"/>
      <c r="I26" s="31" t="s">
        <v>13</v>
      </c>
      <c r="J26" s="31"/>
      <c r="K26" s="105" t="str">
        <f>GRUPOS!G10</f>
        <v>Fran/Karu</v>
      </c>
      <c r="L26" s="32" t="s">
        <v>33</v>
      </c>
      <c r="M26" s="158"/>
      <c r="O26" s="47"/>
      <c r="P26" s="3" t="s">
        <v>49</v>
      </c>
      <c r="Q26" s="83" t="str">
        <f>GRUPOS!K23</f>
        <v>Tata Bonini/Duda Rocha</v>
      </c>
      <c r="R26" s="3">
        <f>J11</f>
        <v>0</v>
      </c>
      <c r="S26" s="54">
        <f>H11</f>
        <v>0</v>
      </c>
      <c r="T26" s="3">
        <f>J23</f>
        <v>0</v>
      </c>
      <c r="U26" s="54">
        <f>H23</f>
        <v>0</v>
      </c>
      <c r="V26" s="3">
        <f>J31</f>
        <v>0</v>
      </c>
      <c r="W26" s="55">
        <f>H31</f>
        <v>0</v>
      </c>
      <c r="X26" s="3">
        <f t="shared" si="6"/>
        <v>0</v>
      </c>
      <c r="Y26" s="4">
        <f t="shared" si="7"/>
        <v>0</v>
      </c>
      <c r="Z26" s="54" t="e">
        <f t="shared" si="8"/>
        <v>#DIV/0!</v>
      </c>
      <c r="AA26" s="48"/>
    </row>
    <row r="27" spans="1:27" ht="30" customHeight="1" thickBot="1" x14ac:dyDescent="0.35">
      <c r="A27" s="157"/>
      <c r="B27" s="29">
        <v>19</v>
      </c>
      <c r="C27" s="30" t="s">
        <v>53</v>
      </c>
      <c r="D27" s="30" t="s">
        <v>74</v>
      </c>
      <c r="E27" s="30"/>
      <c r="F27" s="31" t="s">
        <v>30</v>
      </c>
      <c r="G27" s="84" t="str">
        <f>GRUPOS!K9</f>
        <v>Camila/Fabi</v>
      </c>
      <c r="H27" s="31"/>
      <c r="I27" s="31" t="s">
        <v>13</v>
      </c>
      <c r="J27" s="31"/>
      <c r="K27" s="105" t="str">
        <f>GRUPOS!K10</f>
        <v>Sergi/Suzi</v>
      </c>
      <c r="L27" s="32" t="s">
        <v>34</v>
      </c>
      <c r="M27" s="158"/>
      <c r="O27" s="47"/>
      <c r="AA27" s="48"/>
    </row>
    <row r="28" spans="1:27" ht="30" customHeight="1" thickBot="1" x14ac:dyDescent="0.35">
      <c r="A28" s="157"/>
      <c r="B28" s="33">
        <v>20</v>
      </c>
      <c r="C28" s="23" t="s">
        <v>54</v>
      </c>
      <c r="D28" s="23" t="s">
        <v>75</v>
      </c>
      <c r="E28" s="23"/>
      <c r="F28" s="13" t="s">
        <v>31</v>
      </c>
      <c r="G28" s="85" t="str">
        <f>GRUPOS!O9</f>
        <v>Julli/Rayanne</v>
      </c>
      <c r="H28" s="13"/>
      <c r="I28" s="13" t="s">
        <v>13</v>
      </c>
      <c r="J28" s="13"/>
      <c r="K28" s="106" t="str">
        <f>GRUPOS!O10</f>
        <v>Sarah/Marina Santos</v>
      </c>
      <c r="L28" s="34" t="s">
        <v>35</v>
      </c>
      <c r="M28" s="158"/>
      <c r="O28" s="47"/>
      <c r="P28" s="146" t="s">
        <v>25</v>
      </c>
      <c r="Q28" s="147"/>
      <c r="R28" s="143" t="s">
        <v>95</v>
      </c>
      <c r="S28" s="144"/>
      <c r="T28" s="144"/>
      <c r="U28" s="144"/>
      <c r="V28" s="144"/>
      <c r="W28" s="145"/>
      <c r="X28" s="150" t="s">
        <v>96</v>
      </c>
      <c r="Y28" s="151"/>
      <c r="Z28" s="152"/>
      <c r="AA28" s="48"/>
    </row>
    <row r="29" spans="1:27" ht="30" customHeight="1" thickBot="1" x14ac:dyDescent="0.35">
      <c r="A29" s="157"/>
      <c r="B29" s="109">
        <v>21</v>
      </c>
      <c r="C29" s="110" t="s">
        <v>16</v>
      </c>
      <c r="D29" s="22" t="s">
        <v>76</v>
      </c>
      <c r="E29" s="110"/>
      <c r="F29" s="111" t="s">
        <v>37</v>
      </c>
      <c r="G29" s="112" t="str">
        <f>GRUPOS!C11</f>
        <v>Dani Costa/Lígia</v>
      </c>
      <c r="H29" s="114"/>
      <c r="I29" s="111" t="s">
        <v>13</v>
      </c>
      <c r="J29" s="111"/>
      <c r="K29" s="113" t="str">
        <f>GRUPOS!C12</f>
        <v>Isabela Monteiro/Marina Vasc.</v>
      </c>
      <c r="L29" s="71" t="s">
        <v>45</v>
      </c>
      <c r="M29" s="158"/>
      <c r="O29" s="47"/>
      <c r="P29" s="148"/>
      <c r="Q29" s="149"/>
      <c r="R29" s="77" t="s">
        <v>104</v>
      </c>
      <c r="S29" s="79" t="s">
        <v>92</v>
      </c>
      <c r="T29" s="77" t="s">
        <v>104</v>
      </c>
      <c r="U29" s="79" t="s">
        <v>92</v>
      </c>
      <c r="V29" s="77" t="s">
        <v>104</v>
      </c>
      <c r="W29" s="80" t="s">
        <v>92</v>
      </c>
      <c r="X29" s="77" t="s">
        <v>93</v>
      </c>
      <c r="Y29" s="77" t="s">
        <v>106</v>
      </c>
      <c r="Z29" s="79" t="s">
        <v>97</v>
      </c>
      <c r="AA29" s="48"/>
    </row>
    <row r="30" spans="1:27" ht="30" customHeight="1" x14ac:dyDescent="0.3">
      <c r="A30" s="157"/>
      <c r="B30" s="29">
        <v>22</v>
      </c>
      <c r="C30" s="30" t="s">
        <v>17</v>
      </c>
      <c r="D30" s="30" t="s">
        <v>77</v>
      </c>
      <c r="E30" s="30"/>
      <c r="F30" s="31" t="s">
        <v>39</v>
      </c>
      <c r="G30" s="84" t="str">
        <f>GRUPOS!G11</f>
        <v>Juliana/Bruna Caltabiano</v>
      </c>
      <c r="H30" s="31"/>
      <c r="I30" s="31" t="s">
        <v>13</v>
      </c>
      <c r="J30" s="31"/>
      <c r="K30" s="105" t="str">
        <f>GRUPOS!G12</f>
        <v>⁠Manu Gomes/Julia Evelyn</v>
      </c>
      <c r="L30" s="32" t="s">
        <v>47</v>
      </c>
      <c r="M30" s="158"/>
      <c r="O30" s="47"/>
      <c r="P30" s="15" t="s">
        <v>31</v>
      </c>
      <c r="Q30" s="81" t="str">
        <f>GRUPOS!C21</f>
        <v>Julli/Rayanne</v>
      </c>
      <c r="R30" s="75">
        <f>H12</f>
        <v>0</v>
      </c>
      <c r="S30" s="74">
        <f>J12</f>
        <v>0</v>
      </c>
      <c r="T30" s="75">
        <f>H20</f>
        <v>0</v>
      </c>
      <c r="U30" s="74">
        <f>J20</f>
        <v>0</v>
      </c>
      <c r="V30" s="75">
        <f>H28</f>
        <v>0</v>
      </c>
      <c r="W30" s="76">
        <f>J28</f>
        <v>0</v>
      </c>
      <c r="X30" s="75">
        <f>R30+T30+V30</f>
        <v>0</v>
      </c>
      <c r="Y30" s="73">
        <f>S30+U30+W30</f>
        <v>0</v>
      </c>
      <c r="Z30" s="74" t="e">
        <f>X30/Y30</f>
        <v>#DIV/0!</v>
      </c>
      <c r="AA30" s="48"/>
    </row>
    <row r="31" spans="1:27" ht="30" customHeight="1" x14ac:dyDescent="0.3">
      <c r="A31" s="157"/>
      <c r="B31" s="29">
        <v>23</v>
      </c>
      <c r="C31" s="30" t="s">
        <v>53</v>
      </c>
      <c r="D31" s="30" t="s">
        <v>124</v>
      </c>
      <c r="E31" s="30"/>
      <c r="F31" s="31" t="s">
        <v>41</v>
      </c>
      <c r="G31" s="84" t="str">
        <f>GRUPOS!K11</f>
        <v>Iza/Ray</v>
      </c>
      <c r="H31" s="31"/>
      <c r="I31" s="31" t="s">
        <v>13</v>
      </c>
      <c r="J31" s="31"/>
      <c r="K31" s="105" t="str">
        <f>GRUPOS!K12</f>
        <v>Tata Bonini/Duda Rocha</v>
      </c>
      <c r="L31" s="32" t="s">
        <v>49</v>
      </c>
      <c r="M31" s="158"/>
      <c r="O31" s="47"/>
      <c r="P31" s="2" t="s">
        <v>35</v>
      </c>
      <c r="Q31" s="82" t="str">
        <f>GRUPOS!C22</f>
        <v>Sarah/Marina Santos</v>
      </c>
      <c r="R31" s="2">
        <f>H16</f>
        <v>0</v>
      </c>
      <c r="S31" s="7">
        <f>J16</f>
        <v>0</v>
      </c>
      <c r="T31" s="2">
        <f>H24</f>
        <v>0</v>
      </c>
      <c r="U31" s="7">
        <f>J24</f>
        <v>0</v>
      </c>
      <c r="V31" s="2">
        <f>J28</f>
        <v>0</v>
      </c>
      <c r="W31" s="10">
        <f>H28</f>
        <v>0</v>
      </c>
      <c r="X31" s="2">
        <f t="shared" ref="X31:X33" si="9">R31+T31+V31</f>
        <v>0</v>
      </c>
      <c r="Y31" s="6">
        <f t="shared" ref="Y31:Y33" si="10">S31+U31+W31</f>
        <v>0</v>
      </c>
      <c r="Z31" s="7" t="e">
        <f t="shared" ref="Z31:Z33" si="11">X31/Y31</f>
        <v>#DIV/0!</v>
      </c>
      <c r="AA31" s="48"/>
    </row>
    <row r="32" spans="1:27" ht="30" customHeight="1" thickBot="1" x14ac:dyDescent="0.35">
      <c r="A32" s="157"/>
      <c r="B32" s="33">
        <v>24</v>
      </c>
      <c r="C32" s="23" t="s">
        <v>54</v>
      </c>
      <c r="D32" s="23" t="s">
        <v>125</v>
      </c>
      <c r="E32" s="23"/>
      <c r="F32" s="13" t="s">
        <v>43</v>
      </c>
      <c r="G32" s="85" t="str">
        <f>GRUPOS!O11</f>
        <v>Lili/Gadelha</v>
      </c>
      <c r="H32" s="13"/>
      <c r="I32" s="13" t="s">
        <v>13</v>
      </c>
      <c r="J32" s="13"/>
      <c r="K32" s="106" t="str">
        <f>GRUPOS!O12</f>
        <v>Rafa Silva/Julia Klin</v>
      </c>
      <c r="L32" s="34" t="s">
        <v>51</v>
      </c>
      <c r="M32" s="158"/>
      <c r="O32" s="47"/>
      <c r="P32" s="2" t="s">
        <v>43</v>
      </c>
      <c r="Q32" s="82" t="str">
        <f>GRUPOS!K21</f>
        <v>Lili/Gadelha</v>
      </c>
      <c r="R32" s="2">
        <f>J16</f>
        <v>0</v>
      </c>
      <c r="S32" s="7">
        <f>H16</f>
        <v>0</v>
      </c>
      <c r="T32" s="2">
        <f>J20</f>
        <v>0</v>
      </c>
      <c r="U32" s="7">
        <f>H20</f>
        <v>0</v>
      </c>
      <c r="V32" s="2">
        <f>H32</f>
        <v>0</v>
      </c>
      <c r="W32" s="10">
        <f>J32</f>
        <v>0</v>
      </c>
      <c r="X32" s="2">
        <f t="shared" si="9"/>
        <v>0</v>
      </c>
      <c r="Y32" s="6">
        <f t="shared" si="10"/>
        <v>0</v>
      </c>
      <c r="Z32" s="7" t="e">
        <f t="shared" si="11"/>
        <v>#DIV/0!</v>
      </c>
      <c r="AA32" s="48"/>
    </row>
    <row r="33" spans="1:27" ht="30" customHeight="1" thickBot="1" x14ac:dyDescent="0.35">
      <c r="A33" s="157"/>
      <c r="B33" s="142"/>
      <c r="C33" s="142"/>
      <c r="D33" s="142"/>
      <c r="E33" s="142"/>
      <c r="F33" s="142"/>
      <c r="G33" s="142"/>
      <c r="H33" s="142"/>
      <c r="I33" s="142"/>
      <c r="J33" s="142"/>
      <c r="K33" s="142"/>
      <c r="L33" s="142"/>
      <c r="M33" s="158"/>
      <c r="O33" s="47"/>
      <c r="P33" s="3" t="s">
        <v>51</v>
      </c>
      <c r="Q33" s="83" t="str">
        <f>GRUPOS!K22</f>
        <v>Rafa Silva/Julia Klin</v>
      </c>
      <c r="R33" s="3">
        <f>J12</f>
        <v>0</v>
      </c>
      <c r="S33" s="54">
        <f>H12</f>
        <v>0</v>
      </c>
      <c r="T33" s="3">
        <f>J24</f>
        <v>0</v>
      </c>
      <c r="U33" s="54">
        <f>H24</f>
        <v>0</v>
      </c>
      <c r="V33" s="3">
        <f>J32</f>
        <v>0</v>
      </c>
      <c r="W33" s="55">
        <f>H32</f>
        <v>0</v>
      </c>
      <c r="X33" s="3">
        <f t="shared" si="9"/>
        <v>0</v>
      </c>
      <c r="Y33" s="4">
        <f t="shared" si="10"/>
        <v>0</v>
      </c>
      <c r="Z33" s="54" t="e">
        <f t="shared" si="11"/>
        <v>#DIV/0!</v>
      </c>
      <c r="AA33" s="48"/>
    </row>
    <row r="34" spans="1:27" ht="30" customHeight="1" thickBot="1" x14ac:dyDescent="0.35">
      <c r="A34" s="157"/>
      <c r="B34" s="162" t="s">
        <v>55</v>
      </c>
      <c r="C34" s="163"/>
      <c r="D34" s="163"/>
      <c r="E34" s="163"/>
      <c r="F34" s="163"/>
      <c r="G34" s="163"/>
      <c r="H34" s="163"/>
      <c r="I34" s="163"/>
      <c r="J34" s="163"/>
      <c r="K34" s="163"/>
      <c r="L34" s="164"/>
      <c r="M34" s="158"/>
      <c r="O34" s="47"/>
      <c r="AA34" s="48"/>
    </row>
    <row r="35" spans="1:27" ht="30" customHeight="1" thickBot="1" x14ac:dyDescent="0.35">
      <c r="A35" s="157"/>
      <c r="B35" s="28">
        <v>25</v>
      </c>
      <c r="C35" s="22" t="s">
        <v>109</v>
      </c>
      <c r="D35" s="22" t="s">
        <v>78</v>
      </c>
      <c r="E35" s="22"/>
      <c r="F35" s="12" t="s">
        <v>82</v>
      </c>
      <c r="G35" s="37" t="str">
        <f>R37</f>
        <v>1º Geral</v>
      </c>
      <c r="H35" s="12"/>
      <c r="I35" s="12" t="s">
        <v>13</v>
      </c>
      <c r="J35" s="12"/>
      <c r="K35" s="38" t="str">
        <f>R44</f>
        <v>8º Geral</v>
      </c>
      <c r="L35" s="35" t="s">
        <v>86</v>
      </c>
      <c r="M35" s="158"/>
      <c r="O35" s="47"/>
      <c r="P35" s="175" t="s">
        <v>99</v>
      </c>
      <c r="Q35" s="176"/>
      <c r="R35" s="176"/>
      <c r="S35" s="176"/>
      <c r="T35" s="176"/>
      <c r="U35" s="176"/>
      <c r="V35" s="176"/>
      <c r="W35" s="176"/>
      <c r="X35" s="176"/>
      <c r="Y35" s="176"/>
      <c r="Z35" s="177"/>
      <c r="AA35" s="48"/>
    </row>
    <row r="36" spans="1:27" ht="30" customHeight="1" thickBot="1" x14ac:dyDescent="0.35">
      <c r="A36" s="157"/>
      <c r="B36" s="29">
        <v>26</v>
      </c>
      <c r="C36" s="30" t="s">
        <v>110</v>
      </c>
      <c r="D36" s="30" t="s">
        <v>78</v>
      </c>
      <c r="E36" s="30"/>
      <c r="F36" s="31" t="s">
        <v>83</v>
      </c>
      <c r="G36" s="39" t="str">
        <f>R40</f>
        <v>4º Geral</v>
      </c>
      <c r="H36" s="31"/>
      <c r="I36" s="31" t="s">
        <v>13</v>
      </c>
      <c r="J36" s="31"/>
      <c r="K36" s="40" t="str">
        <f>R41</f>
        <v>5º Geral</v>
      </c>
      <c r="L36" s="32" t="s">
        <v>87</v>
      </c>
      <c r="M36" s="158"/>
      <c r="O36" s="47"/>
      <c r="P36" s="60" t="s">
        <v>100</v>
      </c>
      <c r="Q36" s="59" t="s">
        <v>18</v>
      </c>
      <c r="R36" s="169" t="s">
        <v>15</v>
      </c>
      <c r="S36" s="170"/>
      <c r="T36" s="170"/>
      <c r="U36" s="170"/>
      <c r="V36" s="170"/>
      <c r="W36" s="170"/>
      <c r="X36" s="170"/>
      <c r="Y36" s="171"/>
      <c r="Z36" s="61" t="s">
        <v>101</v>
      </c>
      <c r="AA36" s="48"/>
    </row>
    <row r="37" spans="1:27" ht="30" customHeight="1" x14ac:dyDescent="0.3">
      <c r="A37" s="157"/>
      <c r="B37" s="29">
        <v>27</v>
      </c>
      <c r="C37" s="30" t="s">
        <v>111</v>
      </c>
      <c r="D37" s="30" t="s">
        <v>79</v>
      </c>
      <c r="E37" s="30"/>
      <c r="F37" s="31" t="s">
        <v>84</v>
      </c>
      <c r="G37" s="39" t="str">
        <f>R38</f>
        <v>2º Geral</v>
      </c>
      <c r="H37" s="31"/>
      <c r="I37" s="31" t="s">
        <v>13</v>
      </c>
      <c r="J37" s="31"/>
      <c r="K37" s="40" t="str">
        <f>R43</f>
        <v>7º Geral</v>
      </c>
      <c r="L37" s="32" t="s">
        <v>88</v>
      </c>
      <c r="M37" s="158"/>
      <c r="O37" s="47"/>
      <c r="P37" s="15" t="s">
        <v>0</v>
      </c>
      <c r="Q37" s="8"/>
      <c r="R37" s="160" t="s">
        <v>60</v>
      </c>
      <c r="S37" s="160"/>
      <c r="T37" s="160"/>
      <c r="U37" s="160"/>
      <c r="V37" s="160"/>
      <c r="W37" s="160"/>
      <c r="X37" s="160"/>
      <c r="Y37" s="160"/>
      <c r="Z37" s="5"/>
      <c r="AA37" s="48"/>
    </row>
    <row r="38" spans="1:27" ht="30" customHeight="1" thickBot="1" x14ac:dyDescent="0.35">
      <c r="A38" s="157"/>
      <c r="B38" s="33">
        <v>28</v>
      </c>
      <c r="C38" s="23" t="s">
        <v>112</v>
      </c>
      <c r="D38" s="23" t="s">
        <v>79</v>
      </c>
      <c r="E38" s="23"/>
      <c r="F38" s="13" t="s">
        <v>85</v>
      </c>
      <c r="G38" s="41" t="str">
        <f>R39</f>
        <v>3º Geral</v>
      </c>
      <c r="H38" s="13"/>
      <c r="I38" s="13" t="s">
        <v>13</v>
      </c>
      <c r="J38" s="13"/>
      <c r="K38" s="42" t="str">
        <f>R42</f>
        <v>6º Geral</v>
      </c>
      <c r="L38" s="34" t="s">
        <v>89</v>
      </c>
      <c r="M38" s="158"/>
      <c r="O38" s="47"/>
      <c r="P38" s="2" t="s">
        <v>2</v>
      </c>
      <c r="Q38" s="6"/>
      <c r="R38" s="161" t="s">
        <v>61</v>
      </c>
      <c r="S38" s="161"/>
      <c r="T38" s="161"/>
      <c r="U38" s="161"/>
      <c r="V38" s="161"/>
      <c r="W38" s="161"/>
      <c r="X38" s="161"/>
      <c r="Y38" s="161"/>
      <c r="Z38" s="7"/>
      <c r="AA38" s="48"/>
    </row>
    <row r="39" spans="1:27" ht="30" customHeight="1" thickBot="1" x14ac:dyDescent="0.35">
      <c r="A39" s="157"/>
      <c r="B39" s="142"/>
      <c r="C39" s="142"/>
      <c r="D39" s="142"/>
      <c r="E39" s="142"/>
      <c r="F39" s="142"/>
      <c r="G39" s="142"/>
      <c r="H39" s="142"/>
      <c r="I39" s="142"/>
      <c r="J39" s="142"/>
      <c r="K39" s="142"/>
      <c r="L39" s="142"/>
      <c r="M39" s="158"/>
      <c r="O39" s="47"/>
      <c r="P39" s="2" t="s">
        <v>3</v>
      </c>
      <c r="Q39" s="6"/>
      <c r="R39" s="161" t="s">
        <v>62</v>
      </c>
      <c r="S39" s="161"/>
      <c r="T39" s="161"/>
      <c r="U39" s="161"/>
      <c r="V39" s="161"/>
      <c r="W39" s="161"/>
      <c r="X39" s="161"/>
      <c r="Y39" s="161"/>
      <c r="Z39" s="7"/>
      <c r="AA39" s="48"/>
    </row>
    <row r="40" spans="1:27" ht="30" customHeight="1" thickBot="1" x14ac:dyDescent="0.35">
      <c r="A40" s="157"/>
      <c r="B40" s="162" t="s">
        <v>21</v>
      </c>
      <c r="C40" s="163"/>
      <c r="D40" s="163"/>
      <c r="E40" s="163"/>
      <c r="F40" s="163"/>
      <c r="G40" s="163"/>
      <c r="H40" s="163"/>
      <c r="I40" s="163"/>
      <c r="J40" s="163"/>
      <c r="K40" s="163"/>
      <c r="L40" s="164"/>
      <c r="M40" s="158"/>
      <c r="O40" s="47"/>
      <c r="P40" s="62" t="s">
        <v>1</v>
      </c>
      <c r="Q40" s="53"/>
      <c r="R40" s="159" t="s">
        <v>63</v>
      </c>
      <c r="S40" s="159"/>
      <c r="T40" s="159"/>
      <c r="U40" s="159"/>
      <c r="V40" s="159"/>
      <c r="W40" s="159"/>
      <c r="X40" s="159"/>
      <c r="Y40" s="159"/>
      <c r="Z40" s="63"/>
      <c r="AA40" s="48"/>
    </row>
    <row r="41" spans="1:27" ht="30" customHeight="1" x14ac:dyDescent="0.3">
      <c r="A41" s="157"/>
      <c r="B41" s="28">
        <v>29</v>
      </c>
      <c r="C41" s="22" t="s">
        <v>113</v>
      </c>
      <c r="D41" s="22" t="s">
        <v>80</v>
      </c>
      <c r="E41" s="22"/>
      <c r="F41" s="12" t="s">
        <v>90</v>
      </c>
      <c r="G41" s="16" t="s">
        <v>56</v>
      </c>
      <c r="H41" s="12"/>
      <c r="I41" s="22" t="s">
        <v>13</v>
      </c>
      <c r="J41" s="12"/>
      <c r="K41" s="18" t="s">
        <v>57</v>
      </c>
      <c r="L41" s="35" t="s">
        <v>91</v>
      </c>
      <c r="M41" s="158"/>
      <c r="O41" s="47"/>
      <c r="P41" s="15" t="s">
        <v>4</v>
      </c>
      <c r="Q41" s="8"/>
      <c r="R41" s="160" t="s">
        <v>64</v>
      </c>
      <c r="S41" s="160"/>
      <c r="T41" s="160"/>
      <c r="U41" s="160"/>
      <c r="V41" s="160"/>
      <c r="W41" s="160"/>
      <c r="X41" s="160"/>
      <c r="Y41" s="160"/>
      <c r="Z41" s="5"/>
      <c r="AA41" s="48"/>
    </row>
    <row r="42" spans="1:27" ht="30" customHeight="1" thickBot="1" x14ac:dyDescent="0.35">
      <c r="A42" s="157"/>
      <c r="B42" s="33">
        <v>30</v>
      </c>
      <c r="C42" s="23" t="s">
        <v>114</v>
      </c>
      <c r="D42" s="23" t="s">
        <v>80</v>
      </c>
      <c r="E42" s="23"/>
      <c r="F42" s="13" t="s">
        <v>127</v>
      </c>
      <c r="G42" s="17" t="s">
        <v>128</v>
      </c>
      <c r="H42" s="13"/>
      <c r="I42" s="23" t="s">
        <v>13</v>
      </c>
      <c r="J42" s="13"/>
      <c r="K42" s="19" t="s">
        <v>129</v>
      </c>
      <c r="L42" s="34" t="s">
        <v>130</v>
      </c>
      <c r="M42" s="158"/>
      <c r="O42" s="47"/>
      <c r="P42" s="2" t="s">
        <v>5</v>
      </c>
      <c r="Q42" s="52"/>
      <c r="R42" s="161" t="s">
        <v>65</v>
      </c>
      <c r="S42" s="161"/>
      <c r="T42" s="161"/>
      <c r="U42" s="161"/>
      <c r="V42" s="161"/>
      <c r="W42" s="161"/>
      <c r="X42" s="161"/>
      <c r="Y42" s="161"/>
      <c r="Z42" s="56"/>
      <c r="AA42" s="48"/>
    </row>
    <row r="43" spans="1:27" ht="30" customHeight="1" thickBot="1" x14ac:dyDescent="0.35">
      <c r="A43" s="157"/>
      <c r="B43" s="142"/>
      <c r="C43" s="142"/>
      <c r="D43" s="142"/>
      <c r="E43" s="142"/>
      <c r="F43" s="142"/>
      <c r="G43" s="142"/>
      <c r="H43" s="142"/>
      <c r="I43" s="142"/>
      <c r="J43" s="142"/>
      <c r="K43" s="142"/>
      <c r="L43" s="142"/>
      <c r="M43" s="158"/>
      <c r="O43" s="47"/>
      <c r="P43" s="2" t="s">
        <v>6</v>
      </c>
      <c r="Q43" s="52"/>
      <c r="R43" s="161" t="s">
        <v>66</v>
      </c>
      <c r="S43" s="161"/>
      <c r="T43" s="161"/>
      <c r="U43" s="161"/>
      <c r="V43" s="161"/>
      <c r="W43" s="161"/>
      <c r="X43" s="161"/>
      <c r="Y43" s="161"/>
      <c r="Z43" s="56"/>
      <c r="AA43" s="48"/>
    </row>
    <row r="44" spans="1:27" ht="30" customHeight="1" thickBot="1" x14ac:dyDescent="0.35">
      <c r="A44" s="157"/>
      <c r="B44" s="139" t="s">
        <v>126</v>
      </c>
      <c r="C44" s="140"/>
      <c r="D44" s="140"/>
      <c r="E44" s="140"/>
      <c r="F44" s="140"/>
      <c r="G44" s="140"/>
      <c r="H44" s="140"/>
      <c r="I44" s="140"/>
      <c r="J44" s="140"/>
      <c r="K44" s="140"/>
      <c r="L44" s="141"/>
      <c r="M44" s="158"/>
      <c r="O44" s="47"/>
      <c r="P44" s="3" t="s">
        <v>7</v>
      </c>
      <c r="Q44" s="57"/>
      <c r="R44" s="153" t="s">
        <v>67</v>
      </c>
      <c r="S44" s="153"/>
      <c r="T44" s="153"/>
      <c r="U44" s="153"/>
      <c r="V44" s="153"/>
      <c r="W44" s="153"/>
      <c r="X44" s="153"/>
      <c r="Y44" s="153"/>
      <c r="Z44" s="58"/>
      <c r="AA44" s="48"/>
    </row>
    <row r="45" spans="1:27" ht="30" customHeight="1" thickBot="1" x14ac:dyDescent="0.35">
      <c r="A45" s="157"/>
      <c r="B45" s="43">
        <v>31</v>
      </c>
      <c r="C45" s="24" t="s">
        <v>58</v>
      </c>
      <c r="D45" s="24" t="s">
        <v>81</v>
      </c>
      <c r="E45" s="24"/>
      <c r="F45" s="14" t="s">
        <v>134</v>
      </c>
      <c r="G45" s="21" t="s">
        <v>131</v>
      </c>
      <c r="H45" s="14"/>
      <c r="I45" s="24" t="s">
        <v>13</v>
      </c>
      <c r="J45" s="14"/>
      <c r="K45" s="20" t="s">
        <v>132</v>
      </c>
      <c r="L45" s="44" t="s">
        <v>133</v>
      </c>
      <c r="M45" s="158"/>
      <c r="O45" s="49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1"/>
    </row>
    <row r="46" spans="1:27" ht="30" customHeight="1" thickBot="1" x14ac:dyDescent="0.35">
      <c r="A46" s="157"/>
      <c r="B46" s="142"/>
      <c r="C46" s="142"/>
      <c r="D46" s="142"/>
      <c r="E46" s="142"/>
      <c r="F46" s="142"/>
      <c r="G46" s="142"/>
      <c r="H46" s="142"/>
      <c r="I46" s="142"/>
      <c r="J46" s="142"/>
      <c r="K46" s="142"/>
      <c r="L46" s="142"/>
      <c r="M46" s="158"/>
    </row>
    <row r="47" spans="1:27" ht="30" customHeight="1" thickBot="1" x14ac:dyDescent="0.35">
      <c r="A47" s="157"/>
      <c r="B47" s="162" t="s">
        <v>139</v>
      </c>
      <c r="C47" s="163"/>
      <c r="D47" s="163"/>
      <c r="E47" s="163"/>
      <c r="F47" s="163"/>
      <c r="G47" s="163"/>
      <c r="H47" s="163"/>
      <c r="I47" s="163"/>
      <c r="J47" s="163"/>
      <c r="K47" s="163"/>
      <c r="L47" s="164"/>
      <c r="M47" s="158"/>
    </row>
    <row r="48" spans="1:27" ht="30" customHeight="1" thickBot="1" x14ac:dyDescent="0.35">
      <c r="A48" s="157"/>
      <c r="B48" s="43">
        <v>32</v>
      </c>
      <c r="C48" s="24" t="s">
        <v>59</v>
      </c>
      <c r="D48" s="24" t="s">
        <v>81</v>
      </c>
      <c r="E48" s="24"/>
      <c r="F48" s="14" t="s">
        <v>135</v>
      </c>
      <c r="G48" s="21" t="s">
        <v>136</v>
      </c>
      <c r="H48" s="14"/>
      <c r="I48" s="24" t="s">
        <v>13</v>
      </c>
      <c r="J48" s="14"/>
      <c r="K48" s="20" t="s">
        <v>137</v>
      </c>
      <c r="L48" s="44" t="s">
        <v>138</v>
      </c>
      <c r="M48" s="158"/>
    </row>
    <row r="49" spans="1:13" ht="30" customHeight="1" thickBot="1" x14ac:dyDescent="0.35">
      <c r="A49" s="154"/>
      <c r="B49" s="155"/>
      <c r="C49" s="155"/>
      <c r="D49" s="155"/>
      <c r="E49" s="155"/>
      <c r="F49" s="155"/>
      <c r="G49" s="155"/>
      <c r="H49" s="155"/>
      <c r="I49" s="155"/>
      <c r="J49" s="155"/>
      <c r="K49" s="155"/>
      <c r="L49" s="155"/>
      <c r="M49" s="156"/>
    </row>
    <row r="50" spans="1:13" ht="30" customHeight="1" x14ac:dyDescent="0.3"/>
    <row r="51" spans="1:13" ht="30" customHeight="1" x14ac:dyDescent="0.3"/>
    <row r="52" spans="1:13" ht="30" customHeight="1" x14ac:dyDescent="0.3"/>
    <row r="53" spans="1:13" ht="30" customHeight="1" x14ac:dyDescent="0.3"/>
    <row r="54" spans="1:13" ht="30" customHeight="1" x14ac:dyDescent="0.3"/>
    <row r="55" spans="1:13" ht="30" customHeight="1" x14ac:dyDescent="0.3"/>
    <row r="56" spans="1:13" ht="30" customHeight="1" x14ac:dyDescent="0.3"/>
    <row r="57" spans="1:13" ht="30" customHeight="1" x14ac:dyDescent="0.3"/>
    <row r="58" spans="1:13" ht="30" customHeight="1" x14ac:dyDescent="0.3"/>
    <row r="59" spans="1:13" ht="30" customHeight="1" x14ac:dyDescent="0.3"/>
    <row r="60" spans="1:13" ht="30" customHeight="1" x14ac:dyDescent="0.3"/>
    <row r="61" spans="1:13" ht="30" customHeight="1" x14ac:dyDescent="0.3"/>
    <row r="62" spans="1:13" ht="30" customHeight="1" x14ac:dyDescent="0.3"/>
    <row r="63" spans="1:13" ht="30" customHeight="1" x14ac:dyDescent="0.3"/>
    <row r="64" spans="1:13" ht="30" customHeight="1" x14ac:dyDescent="0.3"/>
  </sheetData>
  <mergeCells count="42">
    <mergeCell ref="B43:L43"/>
    <mergeCell ref="P21:Q22"/>
    <mergeCell ref="R21:W21"/>
    <mergeCell ref="A1:M1"/>
    <mergeCell ref="R36:Y36"/>
    <mergeCell ref="R37:Y37"/>
    <mergeCell ref="R38:Y38"/>
    <mergeCell ref="R39:Y39"/>
    <mergeCell ref="X21:Z21"/>
    <mergeCell ref="P5:Z5"/>
    <mergeCell ref="R28:W28"/>
    <mergeCell ref="X28:Z28"/>
    <mergeCell ref="P35:Z35"/>
    <mergeCell ref="B5:L5"/>
    <mergeCell ref="R44:Y44"/>
    <mergeCell ref="A49:M49"/>
    <mergeCell ref="A2:A48"/>
    <mergeCell ref="M2:M48"/>
    <mergeCell ref="R40:Y40"/>
    <mergeCell ref="R41:Y41"/>
    <mergeCell ref="R42:Y42"/>
    <mergeCell ref="R43:Y43"/>
    <mergeCell ref="B46:L46"/>
    <mergeCell ref="B47:L47"/>
    <mergeCell ref="B44:L44"/>
    <mergeCell ref="B2:L2"/>
    <mergeCell ref="B4:L4"/>
    <mergeCell ref="B34:L34"/>
    <mergeCell ref="B39:L39"/>
    <mergeCell ref="B40:L40"/>
    <mergeCell ref="AC6:AD6"/>
    <mergeCell ref="B3:L3"/>
    <mergeCell ref="B6:L6"/>
    <mergeCell ref="B7:L7"/>
    <mergeCell ref="B33:L33"/>
    <mergeCell ref="R7:W7"/>
    <mergeCell ref="P7:Q8"/>
    <mergeCell ref="X7:Z7"/>
    <mergeCell ref="P14:Q15"/>
    <mergeCell ref="R14:W14"/>
    <mergeCell ref="X14:Z14"/>
    <mergeCell ref="P28:Q29"/>
  </mergeCells>
  <phoneticPr fontId="3" type="noConversion"/>
  <printOptions horizontalCentered="1" verticalCentered="1"/>
  <pageMargins left="0.19685039370078741" right="0.19685039370078741" top="0.19685039370078741" bottom="0.19685039370078741" header="0" footer="0"/>
  <pageSetup paperSize="9" scale="30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1FED155-7D74-415E-BDF0-ED15AD38CE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REGULAMENTO</vt:lpstr>
      <vt:lpstr>GRUPOS</vt:lpstr>
      <vt:lpstr>TABELA_AVERAGE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Wander Lucas Vale da Silva</dc:creator>
  <cp:lastModifiedBy>GHAAS Karina</cp:lastModifiedBy>
  <cp:lastPrinted>2026-05-20T23:52:10Z</cp:lastPrinted>
  <dcterms:created xsi:type="dcterms:W3CDTF">2022-11-04T18:41:09Z</dcterms:created>
  <dcterms:modified xsi:type="dcterms:W3CDTF">2026-05-20T23:54:41Z</dcterms:modified>
</cp:coreProperties>
</file>