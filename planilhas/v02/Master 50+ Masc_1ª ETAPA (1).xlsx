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6f77ff7a9578b4/Área de Trabalho/1ª ETAPA 2026 - ARENA CAFFE/CATEGORIAS/MASTER 50^M MASC/"/>
    </mc:Choice>
  </mc:AlternateContent>
  <xr:revisionPtr revIDLastSave="7" documentId="13_ncr:1_{F1C9FD2B-E398-4C65-AB82-F0471F880A24}" xr6:coauthVersionLast="47" xr6:coauthVersionMax="47" xr10:uidLastSave="{9E6C9B96-F6F6-4950-A254-6985DF3F78C0}"/>
  <bookViews>
    <workbookView xWindow="-110" yWindow="-110" windowWidth="19420" windowHeight="11500" activeTab="1" xr2:uid="{F3961328-0035-4217-99ED-6477153DAF09}"/>
  </bookViews>
  <sheets>
    <sheet name="REGULAMENTO" sheetId="50" r:id="rId1"/>
    <sheet name="GRUPOS" sheetId="48" r:id="rId2"/>
    <sheet name="TABELA_AVERAGE" sheetId="49" r:id="rId3"/>
  </sheets>
  <definedNames>
    <definedName name="FromArray_1">_xlfn.ANCHORARRAY(#REF!)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48" l="1"/>
  <c r="S22" i="48"/>
  <c r="S24" i="48"/>
  <c r="S23" i="48"/>
  <c r="S20" i="48"/>
  <c r="S21" i="48"/>
  <c r="S25" i="48"/>
  <c r="S17" i="48"/>
  <c r="S18" i="48"/>
  <c r="U23" i="49"/>
  <c r="T23" i="49"/>
  <c r="S23" i="49"/>
  <c r="R23" i="49"/>
  <c r="U22" i="49"/>
  <c r="T22" i="49"/>
  <c r="U21" i="49"/>
  <c r="T21" i="49"/>
  <c r="U17" i="49"/>
  <c r="T17" i="49"/>
  <c r="S17" i="49"/>
  <c r="R17" i="49"/>
  <c r="U16" i="49"/>
  <c r="T16" i="49"/>
  <c r="V17" i="49"/>
  <c r="U15" i="49"/>
  <c r="T15" i="49"/>
  <c r="U11" i="49"/>
  <c r="T11" i="49"/>
  <c r="S11" i="49"/>
  <c r="R11" i="49"/>
  <c r="U10" i="49"/>
  <c r="T10" i="49"/>
  <c r="U9" i="49"/>
  <c r="T9" i="49"/>
  <c r="K17" i="49"/>
  <c r="G17" i="49"/>
  <c r="K16" i="49"/>
  <c r="G16" i="49"/>
  <c r="K15" i="49"/>
  <c r="G15" i="49"/>
  <c r="K14" i="49"/>
  <c r="G14" i="49"/>
  <c r="K13" i="49"/>
  <c r="G13" i="49"/>
  <c r="K12" i="49"/>
  <c r="G12" i="49"/>
  <c r="K11" i="49"/>
  <c r="G11" i="49"/>
  <c r="K10" i="49"/>
  <c r="G10" i="49"/>
  <c r="K9" i="49"/>
  <c r="C11" i="48"/>
  <c r="Q11" i="49" s="1"/>
  <c r="G11" i="48"/>
  <c r="K11" i="48"/>
  <c r="Q23" i="49" s="1"/>
  <c r="C10" i="48"/>
  <c r="Q10" i="49" s="1"/>
  <c r="G10" i="48"/>
  <c r="K10" i="48"/>
  <c r="S22" i="49"/>
  <c r="R22" i="49"/>
  <c r="S21" i="49"/>
  <c r="R21" i="49"/>
  <c r="S16" i="49"/>
  <c r="R16" i="49"/>
  <c r="S15" i="49"/>
  <c r="R15" i="49"/>
  <c r="K20" i="49"/>
  <c r="K22" i="49"/>
  <c r="K23" i="49"/>
  <c r="K21" i="49"/>
  <c r="G21" i="49"/>
  <c r="G23" i="49"/>
  <c r="G22" i="49"/>
  <c r="G20" i="49"/>
  <c r="S10" i="49"/>
  <c r="R10" i="49"/>
  <c r="S9" i="49"/>
  <c r="R9" i="49"/>
  <c r="Q9" i="49"/>
  <c r="K9" i="48"/>
  <c r="G9" i="48"/>
  <c r="C9" i="48"/>
  <c r="Q17" i="49" l="1"/>
  <c r="Q16" i="49"/>
  <c r="Q22" i="49"/>
  <c r="Q21" i="49"/>
  <c r="Q15" i="49"/>
  <c r="G9" i="49"/>
  <c r="V22" i="49"/>
  <c r="W23" i="49"/>
  <c r="V23" i="49"/>
  <c r="W22" i="49"/>
  <c r="W21" i="49"/>
  <c r="V21" i="49"/>
  <c r="W16" i="49"/>
  <c r="W17" i="49"/>
  <c r="V16" i="49"/>
  <c r="V15" i="49"/>
  <c r="W15" i="49"/>
  <c r="V10" i="49"/>
  <c r="W10" i="49"/>
  <c r="V11" i="49"/>
  <c r="W11" i="49"/>
  <c r="W9" i="49"/>
  <c r="V9" i="49"/>
  <c r="X22" i="49" l="1"/>
  <c r="X23" i="49"/>
  <c r="X21" i="49"/>
  <c r="X16" i="49"/>
  <c r="X17" i="49"/>
  <c r="X15" i="49"/>
  <c r="X9" i="49"/>
  <c r="X10" i="49"/>
  <c r="X11" i="49"/>
</calcChain>
</file>

<file path=xl/sharedStrings.xml><?xml version="1.0" encoding="utf-8"?>
<sst xmlns="http://schemas.openxmlformats.org/spreadsheetml/2006/main" count="341" uniqueCount="204">
  <si>
    <t>1º</t>
  </si>
  <si>
    <t>4º</t>
  </si>
  <si>
    <t>2º</t>
  </si>
  <si>
    <t>3º</t>
  </si>
  <si>
    <t>5º</t>
  </si>
  <si>
    <t>6º</t>
  </si>
  <si>
    <t>7º</t>
  </si>
  <si>
    <t>8º</t>
  </si>
  <si>
    <t>Jogo</t>
  </si>
  <si>
    <t>Hora</t>
  </si>
  <si>
    <t>Quadra</t>
  </si>
  <si>
    <t>Equipe 1</t>
  </si>
  <si>
    <t>Equipe 2</t>
  </si>
  <si>
    <t>X</t>
  </si>
  <si>
    <t>DUPLA</t>
  </si>
  <si>
    <t>Dupla</t>
  </si>
  <si>
    <t>A</t>
  </si>
  <si>
    <t>B</t>
  </si>
  <si>
    <t>Grupo</t>
  </si>
  <si>
    <t>GRUPO A</t>
  </si>
  <si>
    <t>GRUPO B</t>
  </si>
  <si>
    <t>SEMIFINAIS</t>
  </si>
  <si>
    <t>FASE DE GRUPOS</t>
  </si>
  <si>
    <t>Distribuição pelo ranking no modo serpentina</t>
  </si>
  <si>
    <t>GRUPO C</t>
  </si>
  <si>
    <t>RK</t>
  </si>
  <si>
    <t>CÓD</t>
  </si>
  <si>
    <t>A1</t>
  </si>
  <si>
    <t>B1</t>
  </si>
  <si>
    <t>C1</t>
  </si>
  <si>
    <t>A2</t>
  </si>
  <si>
    <t>B2</t>
  </si>
  <si>
    <t>C2</t>
  </si>
  <si>
    <t>9º</t>
  </si>
  <si>
    <t>A3</t>
  </si>
  <si>
    <t>B3</t>
  </si>
  <si>
    <t>C3</t>
  </si>
  <si>
    <t>Código</t>
  </si>
  <si>
    <t>C</t>
  </si>
  <si>
    <t>D</t>
  </si>
  <si>
    <t>QUARTAS DE FINAL</t>
  </si>
  <si>
    <t>DISPUTA 3º LUGAR</t>
  </si>
  <si>
    <t>F1</t>
  </si>
  <si>
    <t>F2</t>
  </si>
  <si>
    <t>1º Geral</t>
  </si>
  <si>
    <t>2º Geral</t>
  </si>
  <si>
    <t>3º Geral</t>
  </si>
  <si>
    <t>4º Geral</t>
  </si>
  <si>
    <t>5º Geral</t>
  </si>
  <si>
    <t>6º Geral</t>
  </si>
  <si>
    <t>7º Geral</t>
  </si>
  <si>
    <t>8º Geral</t>
  </si>
  <si>
    <t>VJ14</t>
  </si>
  <si>
    <t>10:00</t>
  </si>
  <si>
    <t>10:20</t>
  </si>
  <si>
    <t>11:00</t>
  </si>
  <si>
    <t>11:20</t>
  </si>
  <si>
    <t>11:40</t>
  </si>
  <si>
    <t>12:00</t>
  </si>
  <si>
    <t>12:20</t>
  </si>
  <si>
    <t>12:40</t>
  </si>
  <si>
    <t>13:00</t>
  </si>
  <si>
    <t>VJ13</t>
  </si>
  <si>
    <t>VJ15</t>
  </si>
  <si>
    <t>1G</t>
  </si>
  <si>
    <t>4G</t>
  </si>
  <si>
    <t>2G</t>
  </si>
  <si>
    <t>3G</t>
  </si>
  <si>
    <t>8G</t>
  </si>
  <si>
    <t>5G</t>
  </si>
  <si>
    <t>7G</t>
  </si>
  <si>
    <t>6G</t>
  </si>
  <si>
    <t>PC</t>
  </si>
  <si>
    <t>TPF</t>
  </si>
  <si>
    <t>TPC</t>
  </si>
  <si>
    <t>Partidas</t>
  </si>
  <si>
    <t>Ponto Average</t>
  </si>
  <si>
    <t>Score</t>
  </si>
  <si>
    <t>Average</t>
  </si>
  <si>
    <t>CLASSIFICAÇÃO GERAL</t>
  </si>
  <si>
    <t>Ordem</t>
  </si>
  <si>
    <t>P. Average</t>
  </si>
  <si>
    <t>Legenda:</t>
  </si>
  <si>
    <t>Pontos Pró</t>
  </si>
  <si>
    <t>PP</t>
  </si>
  <si>
    <t>Pontos Contra</t>
  </si>
  <si>
    <t>TPP</t>
  </si>
  <si>
    <t>Total Pontos Pró</t>
  </si>
  <si>
    <t>Total Pontos Contra</t>
  </si>
  <si>
    <t>QF1</t>
  </si>
  <si>
    <t>QF2</t>
  </si>
  <si>
    <t>QF3</t>
  </si>
  <si>
    <t>QF4</t>
  </si>
  <si>
    <t>SF1</t>
  </si>
  <si>
    <t>SF2</t>
  </si>
  <si>
    <t xml:space="preserve"> 1ª Etapa (Arena Caffe)</t>
  </si>
  <si>
    <t>Circuito NCT Vôlei de Praia 2026</t>
  </si>
  <si>
    <t>TABELA</t>
  </si>
  <si>
    <t>O ranqueamento do 1º ao 8º para os playoffs segue a hierarquia abaixo:</t>
  </si>
  <si>
    <t>Blocos</t>
  </si>
  <si>
    <t>A: 1º ao 4º Geral</t>
  </si>
  <si>
    <t>B: 5º ao 8º Geral</t>
  </si>
  <si>
    <r>
      <t>📊</t>
    </r>
    <r>
      <rPr>
        <b/>
        <sz val="11"/>
        <color theme="1"/>
        <rFont val="Calibri"/>
        <family val="2"/>
        <scheme val="minor"/>
      </rPr>
      <t xml:space="preserve"> CLASSIFICAÇÃO GERAL PARA QUARTAS-DE-FINAL</t>
    </r>
  </si>
  <si>
    <r>
      <t>🔥</t>
    </r>
    <r>
      <rPr>
        <b/>
        <sz val="11"/>
        <color theme="1"/>
        <rFont val="Calibri"/>
        <family val="2"/>
        <scheme val="minor"/>
      </rPr>
      <t xml:space="preserve"> CHAVEAMENTO (MATA-MATA)</t>
    </r>
  </si>
  <si>
    <r>
      <t>📜</t>
    </r>
    <r>
      <rPr>
        <b/>
        <sz val="11"/>
        <color theme="1"/>
        <rFont val="Calibri"/>
        <family val="2"/>
        <scheme val="minor"/>
      </rPr>
      <t xml:space="preserve"> REGRAS DE CONDUTA E TÉCNICA</t>
    </r>
  </si>
  <si>
    <r>
      <t>W.O. &amp; DESISTÊNCIA:</t>
    </r>
    <r>
      <rPr>
        <sz val="11"/>
        <color theme="1"/>
        <rFont val="Calibri"/>
        <family val="2"/>
        <scheme val="minor"/>
      </rPr>
      <t xml:space="preserve"> No W.O, vitória da dupla presente, sem saldo de pontos. Em desistência, placar de 21 (ou dif. de 2) para quem ficou mantendo-se o placar do desistente.</t>
    </r>
  </si>
  <si>
    <r>
      <t>CLIMA/INTERRUPÇÃO:</t>
    </r>
    <r>
      <rPr>
        <sz val="11"/>
        <color theme="1"/>
        <rFont val="Calibri"/>
        <family val="2"/>
        <scheme val="minor"/>
      </rPr>
      <t xml:space="preserve"> Até 4h de pausa, mantém o placar. Após 4h, reinício (0x0).</t>
    </r>
  </si>
  <si>
    <r>
      <t>UNIFORME:</t>
    </r>
    <r>
      <rPr>
        <sz val="11"/>
        <color theme="1"/>
        <rFont val="Calibri"/>
        <family val="2"/>
        <scheme val="minor"/>
      </rPr>
      <t xml:space="preserve"> Camiseta NCT Temporada 2026 (Obrigatória). Bermudas iguais (Preferencial).</t>
    </r>
  </si>
  <si>
    <r>
      <t>DISCIPLINA:</t>
    </r>
    <r>
      <rPr>
        <sz val="11"/>
        <color theme="1"/>
        <rFont val="Calibri"/>
        <family val="2"/>
        <scheme val="minor"/>
      </rPr>
      <t xml:space="preserve"> Tolerância zero para violência ou desrespeito. Sujeito a banimento imediato.</t>
    </r>
  </si>
  <si>
    <r>
      <t>📈</t>
    </r>
    <r>
      <rPr>
        <b/>
        <sz val="11"/>
        <color theme="1"/>
        <rFont val="Calibri"/>
        <family val="2"/>
        <scheme val="minor"/>
      </rPr>
      <t xml:space="preserve"> PONTUAÇÃO RANKING NCT (Individual)</t>
    </r>
  </si>
  <si>
    <r>
      <t>🥇</t>
    </r>
    <r>
      <rPr>
        <b/>
        <sz val="11"/>
        <color theme="1"/>
        <rFont val="Calibri"/>
        <family val="2"/>
        <scheme val="minor"/>
      </rPr>
      <t xml:space="preserve"> 1º</t>
    </r>
  </si>
  <si>
    <r>
      <t>🥈</t>
    </r>
    <r>
      <rPr>
        <b/>
        <sz val="11"/>
        <color theme="1"/>
        <rFont val="Calibri"/>
        <family val="2"/>
        <scheme val="minor"/>
      </rPr>
      <t xml:space="preserve"> 2º</t>
    </r>
  </si>
  <si>
    <r>
      <t>🥉</t>
    </r>
    <r>
      <rPr>
        <b/>
        <sz val="11"/>
        <color theme="1"/>
        <rFont val="Calibri"/>
        <family val="2"/>
        <scheme val="minor"/>
      </rPr>
      <t xml:space="preserve"> 3º</t>
    </r>
  </si>
  <si>
    <r>
      <t>🏅</t>
    </r>
    <r>
      <rPr>
        <b/>
        <sz val="11"/>
        <color theme="1"/>
        <rFont val="Calibri"/>
        <family val="2"/>
        <scheme val="minor"/>
      </rPr>
      <t xml:space="preserve"> 4º</t>
    </r>
  </si>
  <si>
    <r>
      <t>🎖️</t>
    </r>
    <r>
      <rPr>
        <b/>
        <sz val="11"/>
        <color theme="1"/>
        <rFont val="Calibri"/>
        <family val="2"/>
        <scheme val="minor"/>
      </rPr>
      <t xml:space="preserve"> 5º a 8º</t>
    </r>
  </si>
  <si>
    <t xml:space="preserve">⚠️ Nota: </t>
  </si>
  <si>
    <t>BLOCO A</t>
  </si>
  <si>
    <t>REGULAMENTO</t>
  </si>
  <si>
    <r>
      <t>📍</t>
    </r>
    <r>
      <rPr>
        <b/>
        <sz val="11"/>
        <color theme="1"/>
        <rFont val="Calibri"/>
        <family val="2"/>
        <scheme val="minor"/>
      </rPr>
      <t xml:space="preserve"> CHECK-IN DO TORNEIO  | DADOS TÉCNICOS</t>
    </r>
  </si>
  <si>
    <t>Desempate</t>
  </si>
  <si>
    <t xml:space="preserve">1º </t>
  </si>
  <si>
    <t>BLOCO B</t>
  </si>
  <si>
    <r>
      <t>·</t>
    </r>
    <r>
      <rPr>
        <sz val="11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FINAL 1:</t>
    </r>
    <r>
      <rPr>
        <sz val="11"/>
        <color theme="1"/>
        <rFont val="Calibri"/>
        <family val="2"/>
        <scheme val="minor"/>
      </rPr>
      <t xml:space="preserve"> Bronze (Perdedores das semifinais)</t>
    </r>
  </si>
  <si>
    <r>
      <t>·</t>
    </r>
    <r>
      <rPr>
        <sz val="11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 xml:space="preserve">FINAL 2: </t>
    </r>
    <r>
      <rPr>
        <sz val="11"/>
        <color theme="1"/>
        <rFont val="Calibri"/>
        <family val="2"/>
        <scheme val="minor"/>
      </rPr>
      <t>Ouro e Prata (Vencedores das seminifinais)</t>
    </r>
  </si>
  <si>
    <r>
      <t>LOCAL:</t>
    </r>
    <r>
      <rPr>
        <sz val="11"/>
        <color theme="1"/>
        <rFont val="Calibri"/>
        <family val="2"/>
        <scheme val="minor"/>
      </rPr>
      <t xml:space="preserve"> Arena Caffe (Gama)</t>
    </r>
    <r>
      <rPr>
        <b/>
        <sz val="11"/>
        <color theme="1"/>
        <rFont val="Calibri"/>
        <family val="2"/>
        <scheme val="minor"/>
      </rPr>
      <t xml:space="preserve">  📍 </t>
    </r>
    <r>
      <rPr>
        <sz val="11"/>
        <color theme="1"/>
        <rFont val="Calibri"/>
        <family val="2"/>
        <scheme val="minor"/>
      </rPr>
      <t>localização anexada no grupo de Whatsapp</t>
    </r>
  </si>
  <si>
    <r>
      <t>🎖️</t>
    </r>
    <r>
      <rPr>
        <b/>
        <sz val="11"/>
        <color theme="1"/>
        <rFont val="Calibri"/>
        <family val="2"/>
        <scheme val="minor"/>
      </rPr>
      <t xml:space="preserve"> 9º a 16º</t>
    </r>
  </si>
  <si>
    <r>
      <t>🏐</t>
    </r>
    <r>
      <rPr>
        <b/>
        <sz val="11"/>
        <color theme="1"/>
        <rFont val="Calibri"/>
        <family val="2"/>
        <scheme val="minor"/>
      </rPr>
      <t xml:space="preserve"> FASE DE GRUPOS: </t>
    </r>
  </si>
  <si>
    <t>🏐 Master 50+ Masculino 🏐</t>
  </si>
  <si>
    <r>
      <t>DATA:</t>
    </r>
    <r>
      <rPr>
        <sz val="11"/>
        <color theme="1"/>
        <rFont val="Calibri"/>
        <family val="2"/>
        <scheme val="minor"/>
      </rPr>
      <t xml:space="preserve"> 23/05/2026 (Sábado) às </t>
    </r>
    <r>
      <rPr>
        <b/>
        <sz val="11"/>
        <color theme="1"/>
        <rFont val="Calibri"/>
        <family val="2"/>
        <scheme val="minor"/>
      </rPr>
      <t xml:space="preserve">8h </t>
    </r>
    <r>
      <rPr>
        <sz val="11"/>
        <color theme="1"/>
        <rFont val="Calibri"/>
        <family val="2"/>
        <scheme val="minor"/>
      </rPr>
      <t>(início do Jogo 1)</t>
    </r>
  </si>
  <si>
    <r>
      <t>SET:</t>
    </r>
    <r>
      <rPr>
        <sz val="11"/>
        <color theme="1"/>
        <rFont val="Calibri"/>
        <family val="2"/>
        <scheme val="minor"/>
      </rPr>
      <t xml:space="preserve"> Único de 21 pontos (exceto Final 2)</t>
    </r>
  </si>
  <si>
    <t>Número de vitórias</t>
  </si>
  <si>
    <t xml:space="preserve">2º </t>
  </si>
  <si>
    <t xml:space="preserve">3º </t>
  </si>
  <si>
    <t xml:space="preserve">4º </t>
  </si>
  <si>
    <t>Confronto direto</t>
  </si>
  <si>
    <t>Sorteio (cara ou coroa)</t>
  </si>
  <si>
    <r>
      <t>FORMATO:</t>
    </r>
    <r>
      <rPr>
        <sz val="11"/>
        <color theme="1"/>
        <rFont val="Calibri"/>
        <family val="2"/>
        <scheme val="minor"/>
      </rPr>
      <t xml:space="preserve"> 9 Duplas | 17 Partidas | 3 Grupos de 3 duplas | 1 Quadra</t>
    </r>
  </si>
  <si>
    <r>
      <t>·</t>
    </r>
    <r>
      <rPr>
        <sz val="11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J10:</t>
    </r>
    <r>
      <rPr>
        <sz val="11"/>
        <color theme="1"/>
        <rFont val="Calibri"/>
        <family val="2"/>
        <scheme val="minor"/>
      </rPr>
      <t xml:space="preserve"> 1º GERAL </t>
    </r>
    <r>
      <rPr>
        <b/>
        <sz val="11"/>
        <color theme="1"/>
        <rFont val="Calibri"/>
        <family val="2"/>
        <scheme val="minor"/>
      </rPr>
      <t>vs</t>
    </r>
    <r>
      <rPr>
        <sz val="11"/>
        <color theme="1"/>
        <rFont val="Calibri"/>
        <family val="2"/>
        <scheme val="minor"/>
      </rPr>
      <t xml:space="preserve"> 8º GERAL</t>
    </r>
  </si>
  <si>
    <r>
      <t>·</t>
    </r>
    <r>
      <rPr>
        <sz val="11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J11:</t>
    </r>
    <r>
      <rPr>
        <sz val="11"/>
        <color theme="1"/>
        <rFont val="Calibri"/>
        <family val="2"/>
        <scheme val="minor"/>
      </rPr>
      <t xml:space="preserve"> 4º GERAL </t>
    </r>
    <r>
      <rPr>
        <b/>
        <sz val="11"/>
        <color theme="1"/>
        <rFont val="Calibri"/>
        <family val="2"/>
        <scheme val="minor"/>
      </rPr>
      <t>vs</t>
    </r>
    <r>
      <rPr>
        <sz val="11"/>
        <color theme="1"/>
        <rFont val="Calibri"/>
        <family val="2"/>
        <scheme val="minor"/>
      </rPr>
      <t xml:space="preserve"> 5º GERAL</t>
    </r>
  </si>
  <si>
    <r>
      <t>·</t>
    </r>
    <r>
      <rPr>
        <sz val="11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J12:</t>
    </r>
    <r>
      <rPr>
        <sz val="11"/>
        <color theme="1"/>
        <rFont val="Calibri"/>
        <family val="2"/>
        <scheme val="minor"/>
      </rPr>
      <t xml:space="preserve"> 2º GERAL </t>
    </r>
    <r>
      <rPr>
        <b/>
        <sz val="11"/>
        <color theme="1"/>
        <rFont val="Calibri"/>
        <family val="2"/>
        <scheme val="minor"/>
      </rPr>
      <t>vs</t>
    </r>
    <r>
      <rPr>
        <sz val="11"/>
        <color theme="1"/>
        <rFont val="Calibri"/>
        <family val="2"/>
        <scheme val="minor"/>
      </rPr>
      <t xml:space="preserve"> 7º GERAL</t>
    </r>
  </si>
  <si>
    <r>
      <t>·</t>
    </r>
    <r>
      <rPr>
        <sz val="11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J13:</t>
    </r>
    <r>
      <rPr>
        <sz val="11"/>
        <color theme="1"/>
        <rFont val="Calibri"/>
        <family val="2"/>
        <scheme val="minor"/>
      </rPr>
      <t xml:space="preserve"> 3º GERAL </t>
    </r>
    <r>
      <rPr>
        <b/>
        <sz val="11"/>
        <color theme="1"/>
        <rFont val="Calibri"/>
        <family val="2"/>
        <scheme val="minor"/>
      </rPr>
      <t>vs</t>
    </r>
    <r>
      <rPr>
        <sz val="11"/>
        <color theme="1"/>
        <rFont val="Calibri"/>
        <family val="2"/>
        <scheme val="minor"/>
      </rPr>
      <t xml:space="preserve"> 6º GERAL</t>
    </r>
  </si>
  <si>
    <r>
      <t>·</t>
    </r>
    <r>
      <rPr>
        <sz val="11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SEMIFINAL 1:</t>
    </r>
    <r>
      <rPr>
        <sz val="11"/>
        <color theme="1"/>
        <rFont val="Calibri"/>
        <family val="2"/>
        <scheme val="minor"/>
      </rPr>
      <t xml:space="preserve"> V. J10 x V. J11</t>
    </r>
  </si>
  <si>
    <r>
      <t>·</t>
    </r>
    <r>
      <rPr>
        <sz val="11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 xml:space="preserve">SEMIFINAL 2: </t>
    </r>
    <r>
      <rPr>
        <sz val="11"/>
        <color theme="1"/>
        <rFont val="Calibri"/>
        <family val="2"/>
        <scheme val="minor"/>
      </rPr>
      <t xml:space="preserve"> V. J12 x V. J13</t>
    </r>
  </si>
  <si>
    <t>GRUPOS (Master 50+ Masculino)</t>
  </si>
  <si>
    <t>8:00</t>
  </si>
  <si>
    <t>8:20</t>
  </si>
  <si>
    <t>8:40</t>
  </si>
  <si>
    <t>9:00</t>
  </si>
  <si>
    <t>9:20</t>
  </si>
  <si>
    <t>9:40</t>
  </si>
  <si>
    <t>13:20</t>
  </si>
  <si>
    <t>Venc. Jogo 10</t>
  </si>
  <si>
    <t>Venc. Jogo 11</t>
  </si>
  <si>
    <t>VJ11</t>
  </si>
  <si>
    <t>VJ10</t>
  </si>
  <si>
    <t>VJ12</t>
  </si>
  <si>
    <t>Venc. Jogo 13</t>
  </si>
  <si>
    <t>Venc. Jogo 12</t>
  </si>
  <si>
    <t>PJ14</t>
  </si>
  <si>
    <t>PJ15</t>
  </si>
  <si>
    <t>Perd. Jogo 15</t>
  </si>
  <si>
    <t>Perd. Jogo 14</t>
  </si>
  <si>
    <t>Venc. Jogo 14</t>
  </si>
  <si>
    <t>Venc. Jogo 15</t>
  </si>
  <si>
    <t>Ranking 2025</t>
  </si>
  <si>
    <t>FINAL (Jogo completo)</t>
  </si>
  <si>
    <t>RANKING</t>
  </si>
  <si>
    <t>AT 1</t>
  </si>
  <si>
    <t>AT 2</t>
  </si>
  <si>
    <t>TOTAL</t>
  </si>
  <si>
    <t>BENA/RAIMUNDO</t>
  </si>
  <si>
    <t>FÁBIO/MANU</t>
  </si>
  <si>
    <t>MILER/DIVINO</t>
  </si>
  <si>
    <t>MARCÃO/TONI</t>
  </si>
  <si>
    <t>GEORGE/LEO OLIVEIRA</t>
  </si>
  <si>
    <t>NEUDSON/FELÍCIO</t>
  </si>
  <si>
    <t>JORGINHO/CLÁUDIO</t>
  </si>
  <si>
    <t>MARCELLO SANDI/EDUARDO</t>
  </si>
  <si>
    <t>Bena/Raimundo</t>
  </si>
  <si>
    <t>Miler/Divino</t>
  </si>
  <si>
    <t>Marcão/Toni</t>
  </si>
  <si>
    <t>Fábio/Manu</t>
  </si>
  <si>
    <t>Jorginho/Cláudio</t>
  </si>
  <si>
    <t>700 + 560 = 1260</t>
  </si>
  <si>
    <t xml:space="preserve">860 + 0 = 860 </t>
  </si>
  <si>
    <t>500 + 300 = 800</t>
  </si>
  <si>
    <t>260 + 120 = 380</t>
  </si>
  <si>
    <t>240 + 0 = 240</t>
  </si>
  <si>
    <t>DEDÉ/MARCELO BRITO</t>
  </si>
  <si>
    <r>
      <t>Classificação:</t>
    </r>
    <r>
      <rPr>
        <sz val="11"/>
        <color theme="1"/>
        <rFont val="Calibri"/>
        <family val="2"/>
        <scheme val="minor"/>
      </rPr>
      <t xml:space="preserve"> Passam às quartas as </t>
    </r>
    <r>
      <rPr>
        <b/>
        <sz val="11"/>
        <color theme="1"/>
        <rFont val="Calibri"/>
        <family val="2"/>
        <scheme val="minor"/>
      </rPr>
      <t>2 (duas) melhores duplas de cada grupo</t>
    </r>
    <r>
      <rPr>
        <sz val="11"/>
        <color theme="1"/>
        <rFont val="Calibri"/>
        <family val="2"/>
        <scheme val="minor"/>
      </rPr>
      <t xml:space="preserve"> + </t>
    </r>
    <r>
      <rPr>
        <b/>
        <sz val="11"/>
        <color theme="1"/>
        <rFont val="Calibri"/>
        <family val="2"/>
        <scheme val="minor"/>
      </rPr>
      <t>2 melhores 3ª (terceiras) colocadas entre os grupos.</t>
    </r>
  </si>
  <si>
    <t>🏆  PREMIAÇÃO</t>
  </si>
  <si>
    <t xml:space="preserve"> 1º a 4º lugar</t>
  </si>
  <si>
    <t>Troféus</t>
  </si>
  <si>
    <t>Na classificação geral, segue-se  os critérios acima, independente da posição conquistada no grupo</t>
  </si>
  <si>
    <t>Dedé/Marcelo Brito</t>
  </si>
  <si>
    <t>Felício/Neudson</t>
  </si>
  <si>
    <r>
      <t xml:space="preserve">Eliminação: </t>
    </r>
    <r>
      <rPr>
        <u/>
        <sz val="11"/>
        <color theme="1"/>
        <rFont val="Calibri"/>
        <family val="2"/>
        <scheme val="minor"/>
      </rPr>
      <t>apenas uma dupla</t>
    </r>
    <r>
      <rPr>
        <sz val="11"/>
        <color theme="1"/>
        <rFont val="Calibri"/>
        <family val="2"/>
        <scheme val="minor"/>
      </rPr>
      <t xml:space="preserve"> é eliminada na fase de grupos.</t>
    </r>
  </si>
  <si>
    <t>120 + 0 = 120 (Sorteio)</t>
  </si>
  <si>
    <t>0 (Sorteio)</t>
  </si>
  <si>
    <t>10:40</t>
  </si>
  <si>
    <t>George/Renato</t>
  </si>
  <si>
    <t>120 + 0 = 120 (Sorteio) - Renato substitui Leo Oliveira</t>
  </si>
  <si>
    <t>0 (Sorteio) Tut substitui Eduardo</t>
  </si>
  <si>
    <t>Marcello Sandi/Tut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</si>
</sst>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3" formatCode="_-* #,##0.00_-;\-* #,##0.00_-;_-* &quot;-&quot;??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ptos"/>
      <family val="2"/>
    </font>
    <font>
      <sz val="11"/>
      <color theme="1"/>
      <name val="Aptos"/>
      <family val="2"/>
    </font>
    <font>
      <sz val="12"/>
      <color rgb="FF000000"/>
      <name val="Aptos"/>
      <family val="2"/>
    </font>
    <font>
      <b/>
      <sz val="22"/>
      <color theme="0"/>
      <name val="Aptos"/>
      <family val="2"/>
    </font>
    <font>
      <b/>
      <sz val="12"/>
      <color rgb="FFFF0000"/>
      <name val="Calibri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sz val="28"/>
      <color theme="1"/>
      <name val="Aptos"/>
      <family val="2"/>
    </font>
    <font>
      <b/>
      <sz val="12"/>
      <color theme="0"/>
      <name val="Aptos"/>
      <family val="2"/>
    </font>
    <font>
      <b/>
      <sz val="26"/>
      <name val="Aptos"/>
      <family val="2"/>
    </font>
    <font>
      <b/>
      <sz val="16"/>
      <color theme="1"/>
      <name val="Calibri"/>
      <family val="2"/>
      <scheme val="minor"/>
    </font>
    <font>
      <b/>
      <sz val="26"/>
      <color theme="1"/>
      <name val="Aptos"/>
      <family val="2"/>
    </font>
    <font>
      <b/>
      <sz val="28"/>
      <color theme="0"/>
      <name val="Aptos"/>
      <family val="2"/>
    </font>
    <font>
      <b/>
      <sz val="18"/>
      <color theme="1"/>
      <name val="Aptos"/>
      <family val="2"/>
    </font>
    <font>
      <b/>
      <sz val="18"/>
      <name val="Aptos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Segoe UI Emoji"/>
      <family val="2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1"/>
      <color theme="1"/>
      <name val="Segoe UI Emoji"/>
      <family val="2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ptos"/>
      <family val="2"/>
    </font>
    <font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1">
    <xf numFmtId="0" fontId="0" fillId="0" borderId="0" xfId="0"/>
    <xf numFmtId="0" fontId="0" fillId="0" borderId="0" xfId="0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/>
    <xf numFmtId="0" fontId="10" fillId="3" borderId="15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3" borderId="25" xfId="0" applyFont="1" applyFill="1" applyBorder="1" applyAlignment="1">
      <alignment horizontal="left" vertical="center" indent="1"/>
    </xf>
    <xf numFmtId="0" fontId="9" fillId="3" borderId="32" xfId="0" applyFont="1" applyFill="1" applyBorder="1" applyAlignment="1">
      <alignment horizontal="left" vertical="center" indent="1"/>
    </xf>
    <xf numFmtId="0" fontId="9" fillId="3" borderId="31" xfId="0" applyFont="1" applyFill="1" applyBorder="1" applyAlignment="1">
      <alignment horizontal="right" vertical="center" indent="1"/>
    </xf>
    <xf numFmtId="0" fontId="9" fillId="3" borderId="26" xfId="0" applyFont="1" applyFill="1" applyBorder="1" applyAlignment="1">
      <alignment horizontal="right" vertical="center" indent="1"/>
    </xf>
    <xf numFmtId="0" fontId="9" fillId="3" borderId="29" xfId="0" applyFont="1" applyFill="1" applyBorder="1" applyAlignment="1">
      <alignment horizontal="right" vertical="center" indent="1"/>
    </xf>
    <xf numFmtId="0" fontId="9" fillId="3" borderId="28" xfId="0" applyFont="1" applyFill="1" applyBorder="1" applyAlignment="1">
      <alignment horizontal="left" vertical="center" indent="1"/>
    </xf>
    <xf numFmtId="49" fontId="6" fillId="3" borderId="15" xfId="0" applyNumberFormat="1" applyFont="1" applyFill="1" applyBorder="1" applyAlignment="1">
      <alignment horizontal="center" vertical="center"/>
    </xf>
    <xf numFmtId="49" fontId="6" fillId="3" borderId="20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6" fillId="3" borderId="36" xfId="0" applyNumberFormat="1" applyFont="1" applyFill="1" applyBorder="1" applyAlignment="1">
      <alignment horizontal="center" vertical="center"/>
    </xf>
    <xf numFmtId="1" fontId="6" fillId="3" borderId="14" xfId="0" applyNumberFormat="1" applyFont="1" applyFill="1" applyBorder="1" applyAlignment="1">
      <alignment horizontal="center" vertical="center"/>
    </xf>
    <xf numFmtId="1" fontId="6" fillId="3" borderId="17" xfId="0" applyNumberFormat="1" applyFont="1" applyFill="1" applyBorder="1" applyAlignment="1">
      <alignment horizontal="center" vertical="center"/>
    </xf>
    <xf numFmtId="49" fontId="6" fillId="3" borderId="13" xfId="0" applyNumberFormat="1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1" fontId="6" fillId="3" borderId="19" xfId="0" applyNumberFormat="1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left" vertical="center" indent="1"/>
    </xf>
    <xf numFmtId="0" fontId="9" fillId="3" borderId="15" xfId="0" applyFont="1" applyFill="1" applyBorder="1" applyAlignment="1">
      <alignment horizontal="right" vertical="center" indent="1"/>
    </xf>
    <xf numFmtId="0" fontId="9" fillId="3" borderId="13" xfId="0" applyFont="1" applyFill="1" applyBorder="1" applyAlignment="1">
      <alignment horizontal="left" vertical="center" indent="1"/>
    </xf>
    <xf numFmtId="0" fontId="9" fillId="3" borderId="13" xfId="0" applyFont="1" applyFill="1" applyBorder="1" applyAlignment="1">
      <alignment horizontal="right" vertical="center" indent="1"/>
    </xf>
    <xf numFmtId="0" fontId="9" fillId="3" borderId="20" xfId="0" applyFont="1" applyFill="1" applyBorder="1" applyAlignment="1">
      <alignment horizontal="left" vertical="center" indent="1"/>
    </xf>
    <xf numFmtId="0" fontId="9" fillId="3" borderId="20" xfId="0" applyFont="1" applyFill="1" applyBorder="1" applyAlignment="1">
      <alignment horizontal="right" vertical="center" indent="1"/>
    </xf>
    <xf numFmtId="1" fontId="6" fillId="3" borderId="1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49" fontId="9" fillId="3" borderId="18" xfId="0" applyNumberFormat="1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49" fontId="9" fillId="3" borderId="2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indent="1"/>
    </xf>
    <xf numFmtId="0" fontId="0" fillId="0" borderId="18" xfId="0" applyBorder="1" applyAlignment="1">
      <alignment horizontal="left" vertical="center" indent="1"/>
    </xf>
    <xf numFmtId="0" fontId="0" fillId="0" borderId="21" xfId="0" applyBorder="1" applyAlignment="1">
      <alignment horizontal="left" vertical="center" indent="1"/>
    </xf>
    <xf numFmtId="0" fontId="9" fillId="3" borderId="18" xfId="0" applyFont="1" applyFill="1" applyBorder="1" applyAlignment="1">
      <alignment horizontal="left" vertical="center" indent="1"/>
    </xf>
    <xf numFmtId="49" fontId="9" fillId="3" borderId="18" xfId="0" applyNumberFormat="1" applyFont="1" applyFill="1" applyBorder="1" applyAlignment="1">
      <alignment horizontal="left" vertical="center" indent="1"/>
    </xf>
    <xf numFmtId="0" fontId="10" fillId="3" borderId="11" xfId="0" applyFont="1" applyFill="1" applyBorder="1" applyAlignment="1">
      <alignment horizontal="center" vertical="center"/>
    </xf>
    <xf numFmtId="49" fontId="9" fillId="3" borderId="11" xfId="0" applyNumberFormat="1" applyFont="1" applyFill="1" applyBorder="1" applyAlignment="1">
      <alignment horizontal="left" vertical="center" indent="1"/>
    </xf>
    <xf numFmtId="49" fontId="9" fillId="3" borderId="1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2" fillId="4" borderId="14" xfId="0" applyFont="1" applyFill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 vertical="center" wrapText="1"/>
    </xf>
    <xf numFmtId="0" fontId="22" fillId="4" borderId="1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9" fillId="6" borderId="36" xfId="0" applyFont="1" applyFill="1" applyBorder="1" applyAlignment="1">
      <alignment horizontal="center" vertical="center"/>
    </xf>
    <xf numFmtId="0" fontId="9" fillId="6" borderId="38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49" fontId="9" fillId="3" borderId="0" xfId="0" applyNumberFormat="1" applyFont="1" applyFill="1" applyAlignment="1">
      <alignment horizontal="left" vertical="center" indent="1"/>
    </xf>
    <xf numFmtId="49" fontId="9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9" fillId="3" borderId="21" xfId="0" applyFont="1" applyFill="1" applyBorder="1" applyAlignment="1">
      <alignment horizontal="left" vertical="center" indent="1"/>
    </xf>
    <xf numFmtId="49" fontId="6" fillId="3" borderId="39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3" borderId="9" xfId="0" applyFill="1" applyBorder="1"/>
    <xf numFmtId="1" fontId="6" fillId="3" borderId="15" xfId="0" applyNumberFormat="1" applyFont="1" applyFill="1" applyBorder="1" applyAlignment="1">
      <alignment horizontal="center" vertical="center"/>
    </xf>
    <xf numFmtId="1" fontId="6" fillId="3" borderId="16" xfId="0" applyNumberFormat="1" applyFont="1" applyFill="1" applyBorder="1" applyAlignment="1">
      <alignment horizontal="center" vertical="center"/>
    </xf>
    <xf numFmtId="1" fontId="6" fillId="3" borderId="20" xfId="0" applyNumberFormat="1" applyFont="1" applyFill="1" applyBorder="1" applyAlignment="1">
      <alignment horizontal="center" vertical="center"/>
    </xf>
    <xf numFmtId="1" fontId="6" fillId="3" borderId="21" xfId="0" applyNumberFormat="1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1" fontId="6" fillId="3" borderId="22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 indent="1"/>
    </xf>
    <xf numFmtId="0" fontId="30" fillId="6" borderId="36" xfId="0" applyFont="1" applyFill="1" applyBorder="1" applyAlignment="1">
      <alignment horizontal="center" vertical="center"/>
    </xf>
    <xf numFmtId="0" fontId="30" fillId="6" borderId="38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31" xfId="0" applyFont="1" applyBorder="1" applyAlignment="1">
      <alignment horizontal="left" vertical="center" indent="1"/>
    </xf>
    <xf numFmtId="0" fontId="30" fillId="0" borderId="16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24" xfId="0" applyFont="1" applyBorder="1" applyAlignment="1">
      <alignment horizontal="left" vertical="center" indent="1"/>
    </xf>
    <xf numFmtId="0" fontId="30" fillId="0" borderId="18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26" xfId="0" applyFont="1" applyBorder="1" applyAlignment="1">
      <alignment horizontal="left" vertical="center" indent="1"/>
    </xf>
    <xf numFmtId="0" fontId="30" fillId="0" borderId="21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0" xfId="0" applyFont="1"/>
    <xf numFmtId="0" fontId="30" fillId="6" borderId="1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30" fillId="0" borderId="16" xfId="0" applyFont="1" applyBorder="1" applyAlignment="1">
      <alignment horizontal="left" vertical="center" indent="1"/>
    </xf>
    <xf numFmtId="0" fontId="30" fillId="0" borderId="18" xfId="0" applyFont="1" applyBorder="1" applyAlignment="1">
      <alignment horizontal="left" vertical="center" indent="1"/>
    </xf>
    <xf numFmtId="0" fontId="30" fillId="0" borderId="21" xfId="0" applyFont="1" applyBorder="1" applyAlignment="1">
      <alignment horizontal="left" vertical="center" indent="1"/>
    </xf>
    <xf numFmtId="49" fontId="30" fillId="0" borderId="16" xfId="0" applyNumberFormat="1" applyFont="1" applyBorder="1" applyAlignment="1">
      <alignment horizontal="left" vertical="center" indent="1"/>
    </xf>
    <xf numFmtId="0" fontId="30" fillId="0" borderId="36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30" fillId="0" borderId="13" xfId="0" applyFont="1" applyBorder="1"/>
    <xf numFmtId="0" fontId="30" fillId="0" borderId="18" xfId="0" applyFont="1" applyBorder="1"/>
    <xf numFmtId="0" fontId="30" fillId="0" borderId="20" xfId="0" applyFont="1" applyBorder="1"/>
    <xf numFmtId="0" fontId="30" fillId="0" borderId="21" xfId="0" applyFont="1" applyBorder="1"/>
    <xf numFmtId="0" fontId="9" fillId="3" borderId="15" xfId="0" applyFont="1" applyFill="1" applyBorder="1" applyAlignment="1">
      <alignment horizontal="right" vertical="center" indent="2"/>
    </xf>
    <xf numFmtId="0" fontId="9" fillId="3" borderId="13" xfId="0" applyFont="1" applyFill="1" applyBorder="1" applyAlignment="1">
      <alignment horizontal="right" vertical="center" indent="2"/>
    </xf>
    <xf numFmtId="0" fontId="9" fillId="3" borderId="20" xfId="0" applyFont="1" applyFill="1" applyBorder="1" applyAlignment="1">
      <alignment horizontal="right" vertical="center" indent="2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left" vertical="center" inden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1" fillId="2" borderId="51" xfId="0" applyFont="1" applyFill="1" applyBorder="1" applyAlignment="1">
      <alignment horizontal="center" vertical="center" wrapText="1"/>
    </xf>
    <xf numFmtId="0" fontId="9" fillId="11" borderId="24" xfId="0" applyFont="1" applyFill="1" applyBorder="1" applyAlignment="1">
      <alignment horizontal="left" vertical="center" indent="1"/>
    </xf>
    <xf numFmtId="0" fontId="9" fillId="11" borderId="45" xfId="0" applyFont="1" applyFill="1" applyBorder="1" applyAlignment="1">
      <alignment horizontal="left" vertical="center" indent="1"/>
    </xf>
    <xf numFmtId="0" fontId="9" fillId="11" borderId="30" xfId="0" applyFont="1" applyFill="1" applyBorder="1" applyAlignment="1">
      <alignment horizontal="left" vertical="center" indent="1"/>
    </xf>
    <xf numFmtId="0" fontId="9" fillId="6" borderId="6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9" fillId="6" borderId="39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11" borderId="31" xfId="0" applyFont="1" applyFill="1" applyBorder="1" applyAlignment="1">
      <alignment horizontal="left" vertical="center" indent="1"/>
    </xf>
    <xf numFmtId="0" fontId="9" fillId="11" borderId="44" xfId="0" applyFont="1" applyFill="1" applyBorder="1" applyAlignment="1">
      <alignment horizontal="left" vertical="center" indent="1"/>
    </xf>
    <xf numFmtId="0" fontId="9" fillId="11" borderId="25" xfId="0" applyFont="1" applyFill="1" applyBorder="1" applyAlignment="1">
      <alignment horizontal="left" vertical="center" indent="1"/>
    </xf>
    <xf numFmtId="0" fontId="8" fillId="3" borderId="0" xfId="0" applyFont="1" applyFill="1" applyAlignment="1">
      <alignment horizontal="center" vertical="center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9" fillId="11" borderId="26" xfId="0" applyFont="1" applyFill="1" applyBorder="1" applyAlignment="1">
      <alignment horizontal="left" vertical="center" indent="1"/>
    </xf>
    <xf numFmtId="0" fontId="9" fillId="11" borderId="46" xfId="0" applyFont="1" applyFill="1" applyBorder="1" applyAlignment="1">
      <alignment horizontal="left" vertical="center" indent="1"/>
    </xf>
    <xf numFmtId="0" fontId="9" fillId="11" borderId="32" xfId="0" applyFont="1" applyFill="1" applyBorder="1" applyAlignment="1">
      <alignment horizontal="left" vertical="center" indent="1"/>
    </xf>
    <xf numFmtId="49" fontId="12" fillId="3" borderId="6" xfId="0" applyNumberFormat="1" applyFont="1" applyFill="1" applyBorder="1" applyAlignment="1">
      <alignment horizontal="center" vertical="center"/>
    </xf>
    <xf numFmtId="49" fontId="12" fillId="3" borderId="9" xfId="0" applyNumberFormat="1" applyFont="1" applyFill="1" applyBorder="1" applyAlignment="1">
      <alignment horizontal="center" vertical="center"/>
    </xf>
    <xf numFmtId="49" fontId="12" fillId="3" borderId="10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/>
    </xf>
    <xf numFmtId="0" fontId="16" fillId="13" borderId="6" xfId="0" applyFont="1" applyFill="1" applyBorder="1" applyAlignment="1">
      <alignment horizontal="center" vertical="center"/>
    </xf>
    <xf numFmtId="0" fontId="16" fillId="13" borderId="7" xfId="0" applyFont="1" applyFill="1" applyBorder="1" applyAlignment="1">
      <alignment horizontal="center" vertical="center"/>
    </xf>
    <xf numFmtId="49" fontId="13" fillId="3" borderId="0" xfId="0" applyNumberFormat="1" applyFont="1" applyFill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17" fillId="6" borderId="2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9" fontId="9" fillId="10" borderId="6" xfId="0" applyNumberFormat="1" applyFont="1" applyFill="1" applyBorder="1" applyAlignment="1">
      <alignment horizontal="center" vertical="center" wrapText="1"/>
    </xf>
    <xf numFmtId="49" fontId="9" fillId="10" borderId="7" xfId="0" applyNumberFormat="1" applyFont="1" applyFill="1" applyBorder="1" applyAlignment="1">
      <alignment horizontal="center" vertical="center" wrapText="1"/>
    </xf>
    <xf numFmtId="49" fontId="9" fillId="10" borderId="8" xfId="0" applyNumberFormat="1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 vertical="center"/>
    </xf>
    <xf numFmtId="0" fontId="7" fillId="13" borderId="11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/>
    </xf>
    <xf numFmtId="49" fontId="9" fillId="10" borderId="22" xfId="0" applyNumberFormat="1" applyFont="1" applyFill="1" applyBorder="1" applyAlignment="1">
      <alignment horizontal="center" vertical="center" wrapText="1"/>
    </xf>
    <xf numFmtId="49" fontId="9" fillId="10" borderId="23" xfId="0" applyNumberFormat="1" applyFont="1" applyFill="1" applyBorder="1" applyAlignment="1">
      <alignment horizontal="center" vertical="center" wrapText="1"/>
    </xf>
    <xf numFmtId="49" fontId="9" fillId="10" borderId="4" xfId="0" applyNumberFormat="1" applyFont="1" applyFill="1" applyBorder="1" applyAlignment="1">
      <alignment horizontal="center" vertical="center" wrapText="1"/>
    </xf>
    <xf numFmtId="0" fontId="18" fillId="11" borderId="22" xfId="0" applyFont="1" applyFill="1" applyBorder="1" applyAlignment="1">
      <alignment horizontal="center" vertical="center"/>
    </xf>
    <xf numFmtId="0" fontId="18" fillId="11" borderId="23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9" fillId="0" borderId="19" xfId="0" applyFont="1" applyBorder="1" applyAlignment="1">
      <alignment horizontal="left" vertical="center" indent="1"/>
    </xf>
    <xf numFmtId="0" fontId="19" fillId="0" borderId="20" xfId="0" applyFont="1" applyBorder="1" applyAlignment="1">
      <alignment horizontal="left" vertical="center" indent="1"/>
    </xf>
    <xf numFmtId="0" fontId="19" fillId="0" borderId="21" xfId="0" applyFont="1" applyBorder="1" applyAlignment="1">
      <alignment horizontal="left" vertical="center" indent="1"/>
    </xf>
    <xf numFmtId="0" fontId="22" fillId="12" borderId="6" xfId="0" applyFont="1" applyFill="1" applyBorder="1" applyAlignment="1">
      <alignment horizontal="center" vertical="center"/>
    </xf>
    <xf numFmtId="0" fontId="22" fillId="12" borderId="7" xfId="0" applyFont="1" applyFill="1" applyBorder="1" applyAlignment="1">
      <alignment horizontal="center" vertical="center"/>
    </xf>
    <xf numFmtId="0" fontId="22" fillId="12" borderId="8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/>
    </xf>
    <xf numFmtId="0" fontId="26" fillId="13" borderId="6" xfId="0" applyFont="1" applyFill="1" applyBorder="1" applyAlignment="1">
      <alignment horizontal="center" vertical="center"/>
    </xf>
    <xf numFmtId="0" fontId="26" fillId="13" borderId="7" xfId="0" applyFont="1" applyFill="1" applyBorder="1" applyAlignment="1">
      <alignment horizontal="center" vertical="center"/>
    </xf>
    <xf numFmtId="0" fontId="26" fillId="13" borderId="8" xfId="0" applyFont="1" applyFill="1" applyBorder="1" applyAlignment="1">
      <alignment horizontal="center" vertical="center"/>
    </xf>
    <xf numFmtId="0" fontId="27" fillId="13" borderId="10" xfId="0" applyFont="1" applyFill="1" applyBorder="1" applyAlignment="1">
      <alignment horizontal="center" vertical="center"/>
    </xf>
    <xf numFmtId="0" fontId="27" fillId="13" borderId="11" xfId="0" applyFont="1" applyFill="1" applyBorder="1" applyAlignment="1">
      <alignment horizontal="center" vertical="center"/>
    </xf>
    <xf numFmtId="0" fontId="27" fillId="13" borderId="12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6" borderId="22" xfId="0" applyFont="1" applyFill="1" applyBorder="1" applyAlignment="1">
      <alignment horizontal="center" vertical="center"/>
    </xf>
    <xf numFmtId="0" fontId="25" fillId="6" borderId="23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1" fillId="0" borderId="15" xfId="0" applyFont="1" applyBorder="1" applyAlignment="1">
      <alignment horizontal="left" vertical="center" wrapText="1" indent="1"/>
    </xf>
    <xf numFmtId="0" fontId="21" fillId="0" borderId="16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8" xfId="0" applyFont="1" applyBorder="1" applyAlignment="1">
      <alignment horizontal="left" vertical="center" wrapText="1" indent="1"/>
    </xf>
    <xf numFmtId="0" fontId="21" fillId="0" borderId="20" xfId="0" applyFont="1" applyBorder="1" applyAlignment="1">
      <alignment horizontal="left" vertical="center" wrapText="1" indent="1"/>
    </xf>
    <xf numFmtId="0" fontId="21" fillId="0" borderId="21" xfId="0" applyFont="1" applyBorder="1" applyAlignment="1">
      <alignment horizontal="left" vertical="center" wrapText="1" indent="1"/>
    </xf>
    <xf numFmtId="0" fontId="23" fillId="0" borderId="2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19" fillId="0" borderId="14" xfId="0" applyFont="1" applyBorder="1" applyAlignment="1">
      <alignment horizontal="left" vertical="center" wrapText="1" indent="1"/>
    </xf>
    <xf numFmtId="0" fontId="19" fillId="0" borderId="15" xfId="0" applyFont="1" applyBorder="1" applyAlignment="1">
      <alignment horizontal="left" vertical="center" wrapText="1" indent="1"/>
    </xf>
    <xf numFmtId="0" fontId="19" fillId="0" borderId="16" xfId="0" applyFont="1" applyBorder="1" applyAlignment="1">
      <alignment horizontal="left" vertical="center" wrapText="1" indent="1"/>
    </xf>
    <xf numFmtId="0" fontId="19" fillId="0" borderId="17" xfId="0" applyFont="1" applyBorder="1" applyAlignment="1">
      <alignment horizontal="left" vertical="center" indent="1"/>
    </xf>
    <xf numFmtId="0" fontId="19" fillId="0" borderId="13" xfId="0" applyFont="1" applyBorder="1" applyAlignment="1">
      <alignment horizontal="left" vertical="center" indent="1"/>
    </xf>
    <xf numFmtId="0" fontId="19" fillId="0" borderId="18" xfId="0" applyFont="1" applyBorder="1" applyAlignment="1">
      <alignment horizontal="left" vertical="center" indent="1"/>
    </xf>
    <xf numFmtId="0" fontId="19" fillId="0" borderId="37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indent="1"/>
    </xf>
    <xf numFmtId="0" fontId="23" fillId="0" borderId="2" xfId="0" applyFont="1" applyBorder="1" applyAlignment="1">
      <alignment horizontal="left" vertical="center" indent="1"/>
    </xf>
    <xf numFmtId="0" fontId="23" fillId="0" borderId="41" xfId="0" applyFont="1" applyBorder="1" applyAlignment="1">
      <alignment horizontal="left" vertical="center" indent="1"/>
    </xf>
    <xf numFmtId="0" fontId="23" fillId="0" borderId="42" xfId="0" applyFont="1" applyBorder="1" applyAlignment="1">
      <alignment horizontal="left" vertical="center" indent="1"/>
    </xf>
    <xf numFmtId="0" fontId="23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9" fillId="5" borderId="47" xfId="0" applyFont="1" applyFill="1" applyBorder="1" applyAlignment="1">
      <alignment horizontal="center" vertical="center" wrapText="1"/>
    </xf>
    <xf numFmtId="0" fontId="28" fillId="5" borderId="44" xfId="0" applyFont="1" applyFill="1" applyBorder="1" applyAlignment="1">
      <alignment horizontal="center" vertical="center" wrapText="1"/>
    </xf>
    <xf numFmtId="0" fontId="28" fillId="5" borderId="48" xfId="0" applyFont="1" applyFill="1" applyBorder="1" applyAlignment="1">
      <alignment horizontal="center" vertical="center" wrapText="1"/>
    </xf>
    <xf numFmtId="8" fontId="19" fillId="0" borderId="49" xfId="0" applyNumberFormat="1" applyFont="1" applyBorder="1" applyAlignment="1">
      <alignment horizontal="center" vertical="center" wrapText="1"/>
    </xf>
    <xf numFmtId="8" fontId="19" fillId="0" borderId="46" xfId="0" applyNumberFormat="1" applyFont="1" applyBorder="1" applyAlignment="1">
      <alignment horizontal="center" vertical="center" wrapText="1"/>
    </xf>
    <xf numFmtId="8" fontId="19" fillId="0" borderId="50" xfId="0" applyNumberFormat="1" applyFont="1" applyBorder="1" applyAlignment="1">
      <alignment horizontal="center" vertical="center" wrapText="1"/>
    </xf>
    <xf numFmtId="0" fontId="21" fillId="4" borderId="22" xfId="0" applyFont="1" applyFill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22" fillId="12" borderId="22" xfId="0" applyFont="1" applyFill="1" applyBorder="1" applyAlignment="1">
      <alignment horizontal="center" vertical="center"/>
    </xf>
    <xf numFmtId="0" fontId="22" fillId="12" borderId="23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left" vertical="center" indent="1"/>
    </xf>
    <xf numFmtId="0" fontId="19" fillId="0" borderId="7" xfId="0" applyFont="1" applyBorder="1" applyAlignment="1">
      <alignment horizontal="left" vertical="center" indent="1"/>
    </xf>
    <xf numFmtId="0" fontId="19" fillId="0" borderId="8" xfId="0" applyFont="1" applyBorder="1" applyAlignment="1">
      <alignment horizontal="left" vertical="center" indent="1"/>
    </xf>
    <xf numFmtId="0" fontId="19" fillId="0" borderId="9" xfId="0" applyFont="1" applyBorder="1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0" fontId="19" fillId="0" borderId="5" xfId="0" applyFont="1" applyBorder="1" applyAlignment="1">
      <alignment horizontal="left" vertical="center" indent="1"/>
    </xf>
    <xf numFmtId="0" fontId="19" fillId="0" borderId="10" xfId="0" applyFont="1" applyBorder="1" applyAlignment="1">
      <alignment horizontal="left" vertical="center" indent="1"/>
    </xf>
    <xf numFmtId="0" fontId="19" fillId="0" borderId="11" xfId="0" applyFont="1" applyBorder="1" applyAlignment="1">
      <alignment horizontal="left" vertical="center" indent="1"/>
    </xf>
    <xf numFmtId="0" fontId="19" fillId="0" borderId="12" xfId="0" applyFont="1" applyBorder="1" applyAlignment="1">
      <alignment horizontal="left" vertical="center" indent="1"/>
    </xf>
    <xf numFmtId="0" fontId="19" fillId="0" borderId="14" xfId="0" applyFont="1" applyBorder="1" applyAlignment="1">
      <alignment horizontal="left" vertical="center" indent="1"/>
    </xf>
    <xf numFmtId="0" fontId="19" fillId="0" borderId="15" xfId="0" applyFont="1" applyBorder="1" applyAlignment="1">
      <alignment horizontal="left" vertical="center" indent="1"/>
    </xf>
    <xf numFmtId="0" fontId="19" fillId="0" borderId="16" xfId="0" applyFont="1" applyBorder="1" applyAlignment="1">
      <alignment horizontal="left" vertical="center" indent="1"/>
    </xf>
    <xf numFmtId="0" fontId="19" fillId="0" borderId="6" xfId="0" applyFont="1" applyBorder="1" applyAlignment="1">
      <alignment horizontal="left" vertical="center" wrapText="1" indent="3"/>
    </xf>
    <xf numFmtId="0" fontId="19" fillId="0" borderId="7" xfId="0" applyFont="1" applyBorder="1" applyAlignment="1">
      <alignment horizontal="left" vertical="center" wrapText="1" indent="3"/>
    </xf>
    <xf numFmtId="0" fontId="19" fillId="0" borderId="9" xfId="0" applyFont="1" applyBorder="1" applyAlignment="1">
      <alignment horizontal="left" vertical="center" wrapText="1" indent="3"/>
    </xf>
    <xf numFmtId="0" fontId="19" fillId="0" borderId="0" xfId="0" applyFont="1" applyAlignment="1">
      <alignment horizontal="left" vertical="center" wrapText="1" indent="3"/>
    </xf>
    <xf numFmtId="0" fontId="19" fillId="0" borderId="10" xfId="0" applyFont="1" applyBorder="1" applyAlignment="1">
      <alignment horizontal="left" vertical="center" wrapText="1" indent="3"/>
    </xf>
    <xf numFmtId="0" fontId="19" fillId="0" borderId="11" xfId="0" applyFont="1" applyBorder="1" applyAlignment="1">
      <alignment horizontal="left" vertical="center" wrapText="1" indent="3"/>
    </xf>
    <xf numFmtId="0" fontId="0" fillId="0" borderId="10" xfId="0" applyBorder="1" applyAlignment="1">
      <alignment horizontal="left" vertical="center" wrapText="1" indent="2"/>
    </xf>
    <xf numFmtId="0" fontId="0" fillId="0" borderId="11" xfId="0" applyBorder="1" applyAlignment="1">
      <alignment horizontal="left" vertical="center" wrapText="1" indent="2"/>
    </xf>
    <xf numFmtId="0" fontId="0" fillId="0" borderId="12" xfId="0" applyBorder="1" applyAlignment="1">
      <alignment horizontal="left" vertical="center" wrapText="1" indent="2"/>
    </xf>
    <xf numFmtId="0" fontId="19" fillId="0" borderId="36" xfId="0" applyFont="1" applyBorder="1" applyAlignment="1">
      <alignment horizontal="left" vertical="center" wrapText="1" indent="3"/>
    </xf>
    <xf numFmtId="0" fontId="19" fillId="0" borderId="37" xfId="0" applyFont="1" applyBorder="1" applyAlignment="1">
      <alignment horizontal="left" vertical="center" wrapText="1" indent="3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30" fillId="0" borderId="39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7" borderId="6" xfId="0" applyFont="1" applyFill="1" applyBorder="1" applyAlignment="1">
      <alignment horizontal="center" vertical="center"/>
    </xf>
    <xf numFmtId="0" fontId="30" fillId="7" borderId="7" xfId="0" applyFont="1" applyFill="1" applyBorder="1" applyAlignment="1">
      <alignment horizontal="center" vertical="center"/>
    </xf>
    <xf numFmtId="0" fontId="30" fillId="7" borderId="8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15" fillId="6" borderId="22" xfId="0" applyFont="1" applyFill="1" applyBorder="1" applyAlignment="1">
      <alignment horizontal="center" vertical="center"/>
    </xf>
    <xf numFmtId="0" fontId="15" fillId="6" borderId="23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49" fontId="9" fillId="9" borderId="22" xfId="0" applyNumberFormat="1" applyFont="1" applyFill="1" applyBorder="1" applyAlignment="1">
      <alignment horizontal="center" vertical="center"/>
    </xf>
    <xf numFmtId="49" fontId="9" fillId="9" borderId="23" xfId="0" applyNumberFormat="1" applyFont="1" applyFill="1" applyBorder="1" applyAlignment="1">
      <alignment horizontal="center" vertical="center"/>
    </xf>
    <xf numFmtId="49" fontId="9" fillId="9" borderId="4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3" fillId="3" borderId="0" xfId="0" applyFont="1" applyFill="1" applyAlignment="1">
      <alignment horizontal="center" vertical="center"/>
    </xf>
    <xf numFmtId="0" fontId="14" fillId="6" borderId="22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9" fillId="11" borderId="24" xfId="0" applyFont="1" applyFill="1" applyBorder="1" applyAlignment="1">
      <alignment vertical="center"/>
    </xf>
    <xf numFmtId="0" fontId="9" fillId="11" borderId="26" xfId="0" applyFont="1" applyFill="1" applyBorder="1" applyAlignment="1">
      <alignment vertical="center"/>
    </xf>
    <xf numFmtId="0" fontId="9" fillId="11" borderId="31" xfId="0" applyFont="1" applyFill="1" applyBorder="1" applyAlignment="1">
      <alignment vertical="center"/>
    </xf>
  </cellXfs>
  <cellStyles count="2">
    <cellStyle name="Normal" xfId="0" builtinId="0"/>
    <cellStyle name="Vírgula 2" xfId="1" xr:uid="{F148B815-FFD2-4B40-97DE-B882CA3A15FD}"/>
  </cellStyles>
  <dxfs count="0"/>
  <tableStyles count="0" defaultTableStyle="TableStyleMedium2" defaultPivotStyle="PivotStyleLight16"/>
  <colors>
    <mruColors>
      <color rgb="FF000099"/>
      <color rgb="FFFF5050"/>
      <color rgb="FFFFCCFF"/>
      <color rgb="FFCC00FF"/>
      <color rgb="FFFFFF99"/>
      <color rgb="FFFF33CC"/>
      <color rgb="FFCC9900"/>
      <color rgb="FFFFCC00"/>
      <color rgb="FFF1DD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1</xdr:row>
      <xdr:rowOff>38100</xdr:rowOff>
    </xdr:from>
    <xdr:to>
      <xdr:col>1</xdr:col>
      <xdr:colOff>745874</xdr:colOff>
      <xdr:row>2</xdr:row>
      <xdr:rowOff>336550</xdr:rowOff>
    </xdr:to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FF58BF84-8710-467B-8FD5-E1C09612D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" y="158750"/>
          <a:ext cx="701424" cy="742950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10</xdr:col>
      <xdr:colOff>31750</xdr:colOff>
      <xdr:row>1</xdr:row>
      <xdr:rowOff>40343</xdr:rowOff>
    </xdr:from>
    <xdr:to>
      <xdr:col>10</xdr:col>
      <xdr:colOff>768415</xdr:colOff>
      <xdr:row>2</xdr:row>
      <xdr:rowOff>343431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FA9EE9D-96BB-4F5D-A090-BA03FB540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450" y="160993"/>
          <a:ext cx="736665" cy="747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</xdr:row>
      <xdr:rowOff>0</xdr:rowOff>
    </xdr:from>
    <xdr:to>
      <xdr:col>14</xdr:col>
      <xdr:colOff>304800</xdr:colOff>
      <xdr:row>4</xdr:row>
      <xdr:rowOff>304800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81B4BB5-3F11-42A8-A2C6-DE4690E19950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767FC5CC-C783-463C-B066-9FA2D2F344F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DCDCDD08-1337-40BE-96EA-AE3A060CACD2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A6116D94-9CA6-4898-A1A2-757FDF871DC0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CD608AF7-04C7-4236-B26E-E800A8B9131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D97AAB52-4F8D-4575-B17F-57DA683E244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7BFECF6-934B-47C4-BA81-9BC98C82FBC1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A23A783B-C1E4-4BEA-8121-33DEF1624EFB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987525F2-C416-4D73-B854-579DCE383B7F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E2B0766-C005-4165-8B52-8EA8EDA7B279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6CACF4F1-17BD-479C-8697-60C2FF26E072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55BC1BA2-298B-49C6-B384-B743B3C2BCB9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EAE95563-FCEC-479D-B0AB-16D88A67DE26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D60626E4-D15C-407E-82C3-E591B30D99BB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5555DF1F-3391-4040-99F0-FB304F66DB35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B88BD87D-1C1C-42C0-A1E3-F5E613F07E68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50C80C22-528F-48AD-A013-BA63CA6DEC73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DB01E4D9-C202-4A83-8F1C-18091D783CB5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AEDC6E04-8134-470A-B9A1-D57BADEA1427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79D70AAB-6A9D-486B-BB86-A7D447F14361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12FC2576-01AD-4F8E-AFC4-B05A22704F7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869232E-A5F1-4F42-9B6D-7F64AD14AFB0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9DC7FD63-C8E5-4BFF-8313-A53FC3E097A5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9A102D9B-95F7-41D0-8903-58F765818698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9DB145C7-BD77-41D7-866A-DCC969179C0C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5C61EACE-7E6C-4819-BBD6-CF6CC19522A7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D12DACA3-513D-4CAA-ADBC-FEDA79BDC5CD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14</xdr:col>
      <xdr:colOff>0</xdr:colOff>
      <xdr:row>4</xdr:row>
      <xdr:rowOff>47625</xdr:rowOff>
    </xdr:from>
    <xdr:to>
      <xdr:col>15</xdr:col>
      <xdr:colOff>235883</xdr:colOff>
      <xdr:row>4</xdr:row>
      <xdr:rowOff>338893</xdr:rowOff>
    </xdr:to>
    <xdr:sp macro="" textlink="">
      <xdr:nvSpPr>
        <xdr:cNvPr id="29" name="AutoShape 1" descr="Flor rosa Vetor 52 Vetor para download gratuito | FreeImages">
          <a:extLst>
            <a:ext uri="{FF2B5EF4-FFF2-40B4-BE49-F238E27FC236}">
              <a16:creationId xmlns:a16="http://schemas.microsoft.com/office/drawing/2014/main" id="{B1967021-5D5F-430D-9F23-1F4971A9F217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47925"/>
          <a:ext cx="845483" cy="291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1C7AF37D-DA97-4642-B094-80A49F887A06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A9CD1C12-974B-4F51-9698-F8403409236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BFDFFD88-B736-4755-BE89-EBC75B8F7DF4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B6D9CBF-7F0B-4A23-8B62-1E7DFDD1464C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55037701-DC14-4383-B3DE-A296F6AB83D1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42810E3B-A20B-45F8-9276-6FB20F131D15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47065</xdr:colOff>
      <xdr:row>1</xdr:row>
      <xdr:rowOff>40341</xdr:rowOff>
    </xdr:from>
    <xdr:to>
      <xdr:col>2</xdr:col>
      <xdr:colOff>414771</xdr:colOff>
      <xdr:row>2</xdr:row>
      <xdr:rowOff>446442</xdr:rowOff>
    </xdr:to>
    <xdr:pic>
      <xdr:nvPicPr>
        <xdr:cNvPr id="38" name="Imagem 37" descr="Logotipo&#10;&#10;Descrição gerada automaticamente">
          <a:extLst>
            <a:ext uri="{FF2B5EF4-FFF2-40B4-BE49-F238E27FC236}">
              <a16:creationId xmlns:a16="http://schemas.microsoft.com/office/drawing/2014/main" id="{678AB9C7-6AE9-4265-828F-1639900EA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794" y="425823"/>
          <a:ext cx="1102812" cy="1168101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10</xdr:col>
      <xdr:colOff>1550901</xdr:colOff>
      <xdr:row>1</xdr:row>
      <xdr:rowOff>42583</xdr:rowOff>
    </xdr:from>
    <xdr:to>
      <xdr:col>11</xdr:col>
      <xdr:colOff>328503</xdr:colOff>
      <xdr:row>2</xdr:row>
      <xdr:rowOff>450932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EF4852BB-B5C3-467B-97B0-DB54E4DAF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136" y="428065"/>
          <a:ext cx="1153249" cy="11703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100855</xdr:colOff>
      <xdr:row>1</xdr:row>
      <xdr:rowOff>67236</xdr:rowOff>
    </xdr:from>
    <xdr:to>
      <xdr:col>3</xdr:col>
      <xdr:colOff>11362</xdr:colOff>
      <xdr:row>2</xdr:row>
      <xdr:rowOff>412377</xdr:rowOff>
    </xdr:to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F55F3DD3-69CE-414E-BE94-225078873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584" y="452718"/>
          <a:ext cx="1093848" cy="1169894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10</xdr:col>
      <xdr:colOff>1703294</xdr:colOff>
      <xdr:row>1</xdr:row>
      <xdr:rowOff>78442</xdr:rowOff>
    </xdr:from>
    <xdr:to>
      <xdr:col>11</xdr:col>
      <xdr:colOff>484033</xdr:colOff>
      <xdr:row>2</xdr:row>
      <xdr:rowOff>425831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22A6BEB-A62B-8CDB-DDA2-12E523CB9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7435" y="463924"/>
          <a:ext cx="1156386" cy="117214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F57E-9BF6-44AE-A9B1-C04A8BDFA0AD}">
  <sheetPr>
    <pageSetUpPr fitToPage="1"/>
  </sheetPr>
  <dimension ref="A1:L44"/>
  <sheetViews>
    <sheetView zoomScale="120" zoomScaleNormal="120" workbookViewId="0">
      <selection activeCell="B15" sqref="B15:K15"/>
    </sheetView>
  </sheetViews>
  <sheetFormatPr defaultRowHeight="14.5" x14ac:dyDescent="0.35"/>
  <cols>
    <col min="1" max="1" width="1.6328125" customWidth="1"/>
    <col min="2" max="10" width="11.6328125" customWidth="1"/>
    <col min="11" max="11" width="13.453125" customWidth="1"/>
    <col min="12" max="12" width="1.6328125" customWidth="1"/>
  </cols>
  <sheetData>
    <row r="1" spans="1:12" ht="10.25" customHeight="1" thickBot="1" x14ac:dyDescent="0.4">
      <c r="A1" s="37"/>
      <c r="B1" s="5"/>
      <c r="C1" s="5"/>
      <c r="D1" s="5"/>
      <c r="E1" s="5"/>
      <c r="F1" s="5"/>
      <c r="G1" s="5"/>
      <c r="H1" s="5"/>
      <c r="I1" s="5"/>
      <c r="J1" s="5"/>
      <c r="K1" s="5"/>
      <c r="L1" s="38"/>
    </row>
    <row r="2" spans="1:12" ht="35" customHeight="1" x14ac:dyDescent="0.35">
      <c r="A2" s="39"/>
      <c r="B2" s="196" t="s">
        <v>96</v>
      </c>
      <c r="C2" s="197"/>
      <c r="D2" s="197"/>
      <c r="E2" s="197"/>
      <c r="F2" s="197"/>
      <c r="G2" s="197"/>
      <c r="H2" s="197"/>
      <c r="I2" s="197"/>
      <c r="J2" s="197"/>
      <c r="K2" s="198"/>
      <c r="L2" s="40"/>
    </row>
    <row r="3" spans="1:12" ht="30" customHeight="1" thickBot="1" x14ac:dyDescent="0.4">
      <c r="A3" s="39"/>
      <c r="B3" s="199" t="s">
        <v>95</v>
      </c>
      <c r="C3" s="200"/>
      <c r="D3" s="200"/>
      <c r="E3" s="200"/>
      <c r="F3" s="200"/>
      <c r="G3" s="200"/>
      <c r="H3" s="200"/>
      <c r="I3" s="200"/>
      <c r="J3" s="200"/>
      <c r="K3" s="201"/>
      <c r="L3" s="40"/>
    </row>
    <row r="4" spans="1:12" ht="30" customHeight="1" thickBot="1" x14ac:dyDescent="0.4">
      <c r="A4" s="39"/>
      <c r="B4" s="202" t="s">
        <v>127</v>
      </c>
      <c r="C4" s="203"/>
      <c r="D4" s="203"/>
      <c r="E4" s="203"/>
      <c r="F4" s="203"/>
      <c r="G4" s="203"/>
      <c r="H4" s="203"/>
      <c r="I4" s="203"/>
      <c r="J4" s="203"/>
      <c r="K4" s="204"/>
      <c r="L4" s="40"/>
    </row>
    <row r="5" spans="1:12" ht="30" customHeight="1" thickBot="1" x14ac:dyDescent="0.4">
      <c r="A5" s="39"/>
      <c r="B5" s="205" t="s">
        <v>117</v>
      </c>
      <c r="C5" s="206"/>
      <c r="D5" s="206"/>
      <c r="E5" s="206"/>
      <c r="F5" s="206"/>
      <c r="G5" s="206"/>
      <c r="H5" s="206"/>
      <c r="I5" s="206"/>
      <c r="J5" s="206"/>
      <c r="K5" s="207"/>
      <c r="L5" s="40"/>
    </row>
    <row r="6" spans="1:12" ht="10.25" customHeight="1" thickBot="1" x14ac:dyDescent="0.4">
      <c r="A6" s="39"/>
      <c r="B6" s="5"/>
      <c r="C6" s="5"/>
      <c r="D6" s="5"/>
      <c r="E6" s="5"/>
      <c r="F6" s="5"/>
      <c r="G6" s="5"/>
      <c r="H6" s="5"/>
      <c r="I6" s="5"/>
      <c r="J6" s="5"/>
      <c r="K6" s="5"/>
      <c r="L6" s="40"/>
    </row>
    <row r="7" spans="1:12" ht="25.25" customHeight="1" thickBot="1" x14ac:dyDescent="0.4">
      <c r="A7" s="39"/>
      <c r="B7" s="243" t="s">
        <v>118</v>
      </c>
      <c r="C7" s="244"/>
      <c r="D7" s="244"/>
      <c r="E7" s="244"/>
      <c r="F7" s="244"/>
      <c r="G7" s="244"/>
      <c r="H7" s="244"/>
      <c r="I7" s="244"/>
      <c r="J7" s="244"/>
      <c r="K7" s="245"/>
      <c r="L7" s="40"/>
    </row>
    <row r="8" spans="1:12" ht="25.25" customHeight="1" x14ac:dyDescent="0.35">
      <c r="A8" s="39"/>
      <c r="B8" s="246" t="s">
        <v>128</v>
      </c>
      <c r="C8" s="247"/>
      <c r="D8" s="247"/>
      <c r="E8" s="247"/>
      <c r="F8" s="247"/>
      <c r="G8" s="247"/>
      <c r="H8" s="247"/>
      <c r="I8" s="247"/>
      <c r="J8" s="247"/>
      <c r="K8" s="248"/>
      <c r="L8" s="40"/>
    </row>
    <row r="9" spans="1:12" ht="25.25" customHeight="1" x14ac:dyDescent="0.35">
      <c r="A9" s="39"/>
      <c r="B9" s="249" t="s">
        <v>124</v>
      </c>
      <c r="C9" s="250"/>
      <c r="D9" s="250"/>
      <c r="E9" s="250"/>
      <c r="F9" s="250"/>
      <c r="G9" s="250"/>
      <c r="H9" s="250"/>
      <c r="I9" s="250"/>
      <c r="J9" s="250"/>
      <c r="K9" s="251"/>
      <c r="L9" s="40"/>
    </row>
    <row r="10" spans="1:12" ht="25.25" customHeight="1" x14ac:dyDescent="0.35">
      <c r="A10" s="39"/>
      <c r="B10" s="249" t="s">
        <v>136</v>
      </c>
      <c r="C10" s="250"/>
      <c r="D10" s="250"/>
      <c r="E10" s="250"/>
      <c r="F10" s="250"/>
      <c r="G10" s="250"/>
      <c r="H10" s="250"/>
      <c r="I10" s="250"/>
      <c r="J10" s="250"/>
      <c r="K10" s="251"/>
      <c r="L10" s="40"/>
    </row>
    <row r="11" spans="1:12" ht="25.25" customHeight="1" thickBot="1" x14ac:dyDescent="0.4">
      <c r="A11" s="39"/>
      <c r="B11" s="252" t="s">
        <v>129</v>
      </c>
      <c r="C11" s="253"/>
      <c r="D11" s="253"/>
      <c r="E11" s="253"/>
      <c r="F11" s="253"/>
      <c r="G11" s="253"/>
      <c r="H11" s="253"/>
      <c r="I11" s="253"/>
      <c r="J11" s="253"/>
      <c r="K11" s="254"/>
      <c r="L11" s="40"/>
    </row>
    <row r="12" spans="1:12" ht="10.25" customHeight="1" thickBot="1" x14ac:dyDescent="0.4">
      <c r="A12" s="39"/>
      <c r="L12" s="40"/>
    </row>
    <row r="13" spans="1:12" ht="25.25" customHeight="1" thickBot="1" x14ac:dyDescent="0.4">
      <c r="A13" s="39"/>
      <c r="B13" s="192" t="s">
        <v>126</v>
      </c>
      <c r="C13" s="193"/>
      <c r="D13" s="193"/>
      <c r="E13" s="193"/>
      <c r="F13" s="193"/>
      <c r="G13" s="193"/>
      <c r="H13" s="193"/>
      <c r="I13" s="193"/>
      <c r="J13" s="193"/>
      <c r="K13" s="194"/>
      <c r="L13" s="40"/>
    </row>
    <row r="14" spans="1:12" ht="25.25" customHeight="1" x14ac:dyDescent="0.35">
      <c r="A14" s="39"/>
      <c r="B14" s="255" t="s">
        <v>196</v>
      </c>
      <c r="C14" s="256"/>
      <c r="D14" s="256"/>
      <c r="E14" s="256"/>
      <c r="F14" s="256"/>
      <c r="G14" s="256"/>
      <c r="H14" s="256"/>
      <c r="I14" s="256"/>
      <c r="J14" s="256"/>
      <c r="K14" s="257"/>
      <c r="L14" s="40"/>
    </row>
    <row r="15" spans="1:12" ht="25.25" customHeight="1" thickBot="1" x14ac:dyDescent="0.4">
      <c r="A15" s="39"/>
      <c r="B15" s="189" t="s">
        <v>189</v>
      </c>
      <c r="C15" s="190"/>
      <c r="D15" s="190"/>
      <c r="E15" s="190"/>
      <c r="F15" s="190"/>
      <c r="G15" s="190"/>
      <c r="H15" s="190"/>
      <c r="I15" s="190"/>
      <c r="J15" s="190"/>
      <c r="K15" s="191"/>
      <c r="L15" s="40"/>
    </row>
    <row r="16" spans="1:12" ht="10.25" customHeight="1" thickBot="1" x14ac:dyDescent="0.4">
      <c r="A16" s="39"/>
      <c r="L16" s="40"/>
    </row>
    <row r="17" spans="1:12" ht="25.25" customHeight="1" thickBot="1" x14ac:dyDescent="0.4">
      <c r="A17" s="39"/>
      <c r="B17" s="243" t="s">
        <v>102</v>
      </c>
      <c r="C17" s="244"/>
      <c r="D17" s="244"/>
      <c r="E17" s="244"/>
      <c r="F17" s="244"/>
      <c r="G17" s="244"/>
      <c r="H17" s="244"/>
      <c r="I17" s="244"/>
      <c r="J17" s="244"/>
      <c r="K17" s="245"/>
      <c r="L17" s="40"/>
    </row>
    <row r="18" spans="1:12" ht="25.25" customHeight="1" thickBot="1" x14ac:dyDescent="0.4">
      <c r="A18" s="39"/>
      <c r="B18" s="240" t="s">
        <v>98</v>
      </c>
      <c r="C18" s="241"/>
      <c r="D18" s="241"/>
      <c r="E18" s="241"/>
      <c r="F18" s="241"/>
      <c r="G18" s="241"/>
      <c r="H18" s="241"/>
      <c r="I18" s="241"/>
      <c r="J18" s="241"/>
      <c r="K18" s="242"/>
      <c r="L18" s="40"/>
    </row>
    <row r="19" spans="1:12" ht="25.25" customHeight="1" thickBot="1" x14ac:dyDescent="0.4">
      <c r="A19" s="39"/>
      <c r="B19" s="267" t="s">
        <v>99</v>
      </c>
      <c r="C19" s="268"/>
      <c r="D19" s="224" t="s">
        <v>100</v>
      </c>
      <c r="E19" s="224"/>
      <c r="F19" s="224"/>
      <c r="G19" s="224"/>
      <c r="H19" s="224" t="s">
        <v>101</v>
      </c>
      <c r="I19" s="224"/>
      <c r="J19" s="224"/>
      <c r="K19" s="225"/>
      <c r="L19" s="40"/>
    </row>
    <row r="20" spans="1:12" ht="25.25" customHeight="1" x14ac:dyDescent="0.35">
      <c r="A20" s="39"/>
      <c r="B20" s="258" t="s">
        <v>119</v>
      </c>
      <c r="C20" s="259"/>
      <c r="D20" s="74" t="s">
        <v>120</v>
      </c>
      <c r="E20" s="208" t="s">
        <v>130</v>
      </c>
      <c r="F20" s="208"/>
      <c r="G20" s="208"/>
      <c r="H20" s="208"/>
      <c r="I20" s="208"/>
      <c r="J20" s="208"/>
      <c r="K20" s="209"/>
      <c r="L20" s="40"/>
    </row>
    <row r="21" spans="1:12" ht="25.25" customHeight="1" x14ac:dyDescent="0.35">
      <c r="A21" s="39"/>
      <c r="B21" s="260"/>
      <c r="C21" s="261"/>
      <c r="D21" s="73" t="s">
        <v>131</v>
      </c>
      <c r="E21" s="210" t="s">
        <v>76</v>
      </c>
      <c r="F21" s="210"/>
      <c r="G21" s="210"/>
      <c r="H21" s="210"/>
      <c r="I21" s="210"/>
      <c r="J21" s="210"/>
      <c r="K21" s="211"/>
      <c r="L21" s="40"/>
    </row>
    <row r="22" spans="1:12" ht="25.25" customHeight="1" x14ac:dyDescent="0.35">
      <c r="A22" s="39"/>
      <c r="B22" s="260"/>
      <c r="C22" s="261"/>
      <c r="D22" s="73" t="s">
        <v>132</v>
      </c>
      <c r="E22" s="210" t="s">
        <v>134</v>
      </c>
      <c r="F22" s="210"/>
      <c r="G22" s="210"/>
      <c r="H22" s="210"/>
      <c r="I22" s="210"/>
      <c r="J22" s="210"/>
      <c r="K22" s="211"/>
      <c r="L22" s="40"/>
    </row>
    <row r="23" spans="1:12" ht="25.25" customHeight="1" thickBot="1" x14ac:dyDescent="0.4">
      <c r="A23" s="39"/>
      <c r="B23" s="262"/>
      <c r="C23" s="263"/>
      <c r="D23" s="75" t="s">
        <v>133</v>
      </c>
      <c r="E23" s="212" t="s">
        <v>135</v>
      </c>
      <c r="F23" s="212"/>
      <c r="G23" s="212"/>
      <c r="H23" s="212"/>
      <c r="I23" s="212"/>
      <c r="J23" s="212"/>
      <c r="K23" s="213"/>
      <c r="L23" s="40"/>
    </row>
    <row r="24" spans="1:12" ht="30" customHeight="1" thickBot="1" x14ac:dyDescent="0.4">
      <c r="A24" s="39"/>
      <c r="B24" s="142" t="s">
        <v>115</v>
      </c>
      <c r="C24" s="264" t="s">
        <v>193</v>
      </c>
      <c r="D24" s="265"/>
      <c r="E24" s="265"/>
      <c r="F24" s="265"/>
      <c r="G24" s="265"/>
      <c r="H24" s="265"/>
      <c r="I24" s="265"/>
      <c r="J24" s="265"/>
      <c r="K24" s="266"/>
      <c r="L24" s="40"/>
    </row>
    <row r="25" spans="1:12" ht="10.25" customHeight="1" thickBot="1" x14ac:dyDescent="0.4">
      <c r="A25" s="39"/>
      <c r="L25" s="40"/>
    </row>
    <row r="26" spans="1:12" ht="25.25" customHeight="1" thickBot="1" x14ac:dyDescent="0.4">
      <c r="A26" s="39"/>
      <c r="B26" s="192" t="s">
        <v>103</v>
      </c>
      <c r="C26" s="193"/>
      <c r="D26" s="193"/>
      <c r="E26" s="193"/>
      <c r="F26" s="193"/>
      <c r="G26" s="193"/>
      <c r="H26" s="193"/>
      <c r="I26" s="193"/>
      <c r="J26" s="193"/>
      <c r="K26" s="194"/>
      <c r="L26" s="40"/>
    </row>
    <row r="27" spans="1:12" ht="25.25" customHeight="1" thickBot="1" x14ac:dyDescent="0.4">
      <c r="A27" s="39"/>
      <c r="B27" s="61" t="s">
        <v>116</v>
      </c>
      <c r="C27" s="226" t="s">
        <v>137</v>
      </c>
      <c r="D27" s="227"/>
      <c r="E27" s="227"/>
      <c r="F27" s="227" t="s">
        <v>138</v>
      </c>
      <c r="G27" s="227"/>
      <c r="H27" s="227"/>
      <c r="I27" s="232" t="s">
        <v>141</v>
      </c>
      <c r="J27" s="232"/>
      <c r="K27" s="233"/>
      <c r="L27" s="40"/>
    </row>
    <row r="28" spans="1:12" ht="25.25" customHeight="1" thickBot="1" x14ac:dyDescent="0.4">
      <c r="A28" s="39"/>
      <c r="B28" s="60" t="s">
        <v>121</v>
      </c>
      <c r="C28" s="228" t="s">
        <v>139</v>
      </c>
      <c r="D28" s="229"/>
      <c r="E28" s="229"/>
      <c r="F28" s="229" t="s">
        <v>140</v>
      </c>
      <c r="G28" s="229"/>
      <c r="H28" s="229"/>
      <c r="I28" s="230" t="s">
        <v>142</v>
      </c>
      <c r="J28" s="230"/>
      <c r="K28" s="231"/>
      <c r="L28" s="40"/>
    </row>
    <row r="29" spans="1:12" ht="25.25" customHeight="1" thickBot="1" x14ac:dyDescent="0.4">
      <c r="A29" s="39"/>
      <c r="B29" s="214" t="s">
        <v>122</v>
      </c>
      <c r="C29" s="215"/>
      <c r="D29" s="215"/>
      <c r="E29" s="215"/>
      <c r="F29" s="216"/>
      <c r="G29" s="217" t="s">
        <v>123</v>
      </c>
      <c r="H29" s="215"/>
      <c r="I29" s="215"/>
      <c r="J29" s="215"/>
      <c r="K29" s="216"/>
      <c r="L29" s="40"/>
    </row>
    <row r="30" spans="1:12" ht="10.25" customHeight="1" thickBot="1" x14ac:dyDescent="0.4">
      <c r="A30" s="39"/>
      <c r="L30" s="40"/>
    </row>
    <row r="31" spans="1:12" ht="25.25" customHeight="1" thickBot="1" x14ac:dyDescent="0.4">
      <c r="A31" s="39"/>
      <c r="B31" s="192" t="s">
        <v>104</v>
      </c>
      <c r="C31" s="193"/>
      <c r="D31" s="193"/>
      <c r="E31" s="193"/>
      <c r="F31" s="193"/>
      <c r="G31" s="193"/>
      <c r="H31" s="193"/>
      <c r="I31" s="193"/>
      <c r="J31" s="193"/>
      <c r="K31" s="194"/>
      <c r="L31" s="40"/>
    </row>
    <row r="32" spans="1:12" ht="30" customHeight="1" x14ac:dyDescent="0.35">
      <c r="A32" s="39"/>
      <c r="B32" s="218" t="s">
        <v>105</v>
      </c>
      <c r="C32" s="219"/>
      <c r="D32" s="219"/>
      <c r="E32" s="219"/>
      <c r="F32" s="219"/>
      <c r="G32" s="219"/>
      <c r="H32" s="219"/>
      <c r="I32" s="219"/>
      <c r="J32" s="219"/>
      <c r="K32" s="220"/>
      <c r="L32" s="40"/>
    </row>
    <row r="33" spans="1:12" ht="25.25" customHeight="1" x14ac:dyDescent="0.35">
      <c r="A33" s="39"/>
      <c r="B33" s="221" t="s">
        <v>106</v>
      </c>
      <c r="C33" s="222"/>
      <c r="D33" s="222"/>
      <c r="E33" s="222"/>
      <c r="F33" s="222"/>
      <c r="G33" s="222"/>
      <c r="H33" s="222"/>
      <c r="I33" s="222"/>
      <c r="J33" s="222"/>
      <c r="K33" s="223"/>
      <c r="L33" s="40"/>
    </row>
    <row r="34" spans="1:12" ht="25.25" customHeight="1" x14ac:dyDescent="0.35">
      <c r="A34" s="39"/>
      <c r="B34" s="221" t="s">
        <v>107</v>
      </c>
      <c r="C34" s="222"/>
      <c r="D34" s="222"/>
      <c r="E34" s="222"/>
      <c r="F34" s="222"/>
      <c r="G34" s="222"/>
      <c r="H34" s="222"/>
      <c r="I34" s="222"/>
      <c r="J34" s="222"/>
      <c r="K34" s="223"/>
      <c r="L34" s="40"/>
    </row>
    <row r="35" spans="1:12" ht="25.25" customHeight="1" thickBot="1" x14ac:dyDescent="0.4">
      <c r="A35" s="39"/>
      <c r="B35" s="189" t="s">
        <v>108</v>
      </c>
      <c r="C35" s="190"/>
      <c r="D35" s="190"/>
      <c r="E35" s="190"/>
      <c r="F35" s="190"/>
      <c r="G35" s="190"/>
      <c r="H35" s="190"/>
      <c r="I35" s="190"/>
      <c r="J35" s="190"/>
      <c r="K35" s="191"/>
      <c r="L35" s="40"/>
    </row>
    <row r="36" spans="1:12" ht="10.25" customHeight="1" thickBot="1" x14ac:dyDescent="0.4">
      <c r="A36" s="39"/>
      <c r="L36" s="40"/>
    </row>
    <row r="37" spans="1:12" ht="25.25" customHeight="1" thickBot="1" x14ac:dyDescent="0.4">
      <c r="A37" s="39"/>
      <c r="B37" s="192" t="s">
        <v>109</v>
      </c>
      <c r="C37" s="193"/>
      <c r="D37" s="193"/>
      <c r="E37" s="193"/>
      <c r="F37" s="193"/>
      <c r="G37" s="194"/>
      <c r="I37" s="195" t="s">
        <v>190</v>
      </c>
      <c r="J37" s="193"/>
      <c r="K37" s="194"/>
      <c r="L37" s="40"/>
    </row>
    <row r="38" spans="1:12" ht="25.25" customHeight="1" x14ac:dyDescent="0.35">
      <c r="A38" s="39"/>
      <c r="B38" s="66" t="s">
        <v>110</v>
      </c>
      <c r="C38" s="67" t="s">
        <v>111</v>
      </c>
      <c r="D38" s="67" t="s">
        <v>112</v>
      </c>
      <c r="E38" s="67" t="s">
        <v>113</v>
      </c>
      <c r="F38" s="67" t="s">
        <v>114</v>
      </c>
      <c r="G38" s="68" t="s">
        <v>125</v>
      </c>
      <c r="H38" s="65"/>
      <c r="I38" s="234" t="s">
        <v>191</v>
      </c>
      <c r="J38" s="235"/>
      <c r="K38" s="236"/>
      <c r="L38" s="40"/>
    </row>
    <row r="39" spans="1:12" ht="25.25" customHeight="1" thickBot="1" x14ac:dyDescent="0.4">
      <c r="A39" s="39"/>
      <c r="B39" s="62">
        <v>300</v>
      </c>
      <c r="C39" s="63">
        <v>240</v>
      </c>
      <c r="D39" s="63">
        <v>190</v>
      </c>
      <c r="E39" s="63">
        <v>150</v>
      </c>
      <c r="F39" s="63">
        <v>120</v>
      </c>
      <c r="G39" s="64">
        <v>100</v>
      </c>
      <c r="H39" s="65"/>
      <c r="I39" s="237" t="s">
        <v>192</v>
      </c>
      <c r="J39" s="238"/>
      <c r="K39" s="239"/>
      <c r="L39" s="40"/>
    </row>
    <row r="40" spans="1:12" ht="10.25" customHeight="1" thickBot="1" x14ac:dyDescent="0.4">
      <c r="A40" s="41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3"/>
    </row>
    <row r="41" spans="1:12" ht="30" customHeight="1" x14ac:dyDescent="0.35"/>
    <row r="42" spans="1:12" ht="30" customHeight="1" x14ac:dyDescent="0.35"/>
    <row r="44" spans="1:12" x14ac:dyDescent="0.35">
      <c r="B44" s="59"/>
    </row>
  </sheetData>
  <mergeCells count="41">
    <mergeCell ref="I38:K38"/>
    <mergeCell ref="I39:K39"/>
    <mergeCell ref="B18:K18"/>
    <mergeCell ref="B7:K7"/>
    <mergeCell ref="B8:K8"/>
    <mergeCell ref="B9:K9"/>
    <mergeCell ref="B10:K10"/>
    <mergeCell ref="B11:K11"/>
    <mergeCell ref="B13:K13"/>
    <mergeCell ref="B15:K15"/>
    <mergeCell ref="B14:K14"/>
    <mergeCell ref="B17:K17"/>
    <mergeCell ref="B20:C23"/>
    <mergeCell ref="C24:K24"/>
    <mergeCell ref="B26:K26"/>
    <mergeCell ref="B19:C19"/>
    <mergeCell ref="D19:G19"/>
    <mergeCell ref="H19:K19"/>
    <mergeCell ref="E21:K21"/>
    <mergeCell ref="C27:E27"/>
    <mergeCell ref="C28:E28"/>
    <mergeCell ref="F27:H27"/>
    <mergeCell ref="I28:K28"/>
    <mergeCell ref="I27:K27"/>
    <mergeCell ref="F28:H28"/>
    <mergeCell ref="B35:K35"/>
    <mergeCell ref="B37:G37"/>
    <mergeCell ref="I37:K37"/>
    <mergeCell ref="B2:K2"/>
    <mergeCell ref="B3:K3"/>
    <mergeCell ref="B4:K4"/>
    <mergeCell ref="B5:K5"/>
    <mergeCell ref="E20:K20"/>
    <mergeCell ref="E22:K22"/>
    <mergeCell ref="E23:K23"/>
    <mergeCell ref="B29:F29"/>
    <mergeCell ref="G29:K29"/>
    <mergeCell ref="B31:K31"/>
    <mergeCell ref="B32:K32"/>
    <mergeCell ref="B33:K33"/>
    <mergeCell ref="B34:K34"/>
  </mergeCells>
  <phoneticPr fontId="3" type="noConversion"/>
  <printOptions horizontalCentered="1" verticalCentered="1"/>
  <pageMargins left="0.19685039370078741" right="0.19685039370078741" top="0.19685039370078741" bottom="0.19685039370078741" header="0" footer="0"/>
  <pageSetup paperSize="9" scale="81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C18C-59AD-433D-BCDD-C5B50A607B90}">
  <sheetPr>
    <pageSetUpPr fitToPage="1"/>
  </sheetPr>
  <dimension ref="A1:S43"/>
  <sheetViews>
    <sheetView showGridLines="0" tabSelected="1" topLeftCell="A25" zoomScale="85" zoomScaleNormal="85" workbookViewId="0">
      <selection activeCell="C30" sqref="C30:C38"/>
    </sheetView>
  </sheetViews>
  <sheetFormatPr defaultRowHeight="14.5" x14ac:dyDescent="0.35"/>
  <cols>
    <col min="1" max="1" width="5.6328125" customWidth="1"/>
    <col min="2" max="2" width="10.6328125" customWidth="1"/>
    <col min="3" max="3" width="34.6328125" customWidth="1"/>
    <col min="4" max="4" width="5.6328125" customWidth="1"/>
    <col min="5" max="5" width="5.36328125" customWidth="1"/>
    <col min="6" max="6" width="10.6328125" customWidth="1"/>
    <col min="7" max="7" width="34.6328125" customWidth="1"/>
    <col min="8" max="8" width="5.6328125" customWidth="1"/>
    <col min="9" max="9" width="5.36328125" customWidth="1"/>
    <col min="10" max="10" width="10.6328125" customWidth="1"/>
    <col min="11" max="11" width="34.6328125" customWidth="1"/>
    <col min="12" max="13" width="5.6328125" customWidth="1"/>
    <col min="16" max="16" width="27.54296875" bestFit="1" customWidth="1"/>
  </cols>
  <sheetData>
    <row r="1" spans="1:19" ht="30" customHeight="1" thickBot="1" x14ac:dyDescent="0.4">
      <c r="A1" s="166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69"/>
    </row>
    <row r="2" spans="1:19" ht="60" customHeight="1" x14ac:dyDescent="0.35">
      <c r="A2" s="167"/>
      <c r="B2" s="170" t="s">
        <v>96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70"/>
    </row>
    <row r="3" spans="1:19" ht="40.25" customHeight="1" thickBot="1" x14ac:dyDescent="0.4">
      <c r="A3" s="167"/>
      <c r="B3" s="180" t="s">
        <v>95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70"/>
    </row>
    <row r="4" spans="1:19" ht="40.25" customHeight="1" thickBot="1" x14ac:dyDescent="0.4">
      <c r="A4" s="167"/>
      <c r="B4" s="172" t="s">
        <v>143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70"/>
    </row>
    <row r="5" spans="1:19" ht="40.25" customHeight="1" thickBot="1" x14ac:dyDescent="0.4">
      <c r="A5" s="167"/>
      <c r="B5" s="173" t="s">
        <v>23</v>
      </c>
      <c r="C5" s="174"/>
      <c r="D5" s="174"/>
      <c r="E5" s="174"/>
      <c r="F5" s="174"/>
      <c r="G5" s="174"/>
      <c r="H5" s="174"/>
      <c r="I5" s="174"/>
      <c r="J5" s="174"/>
      <c r="K5" s="174"/>
      <c r="L5" s="175"/>
      <c r="M5" s="70"/>
    </row>
    <row r="6" spans="1:19" ht="30" customHeight="1" thickBot="1" x14ac:dyDescent="0.4">
      <c r="A6" s="167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70"/>
    </row>
    <row r="7" spans="1:19" ht="30" customHeight="1" thickBot="1" x14ac:dyDescent="0.4">
      <c r="A7" s="167"/>
      <c r="B7" s="177" t="s">
        <v>19</v>
      </c>
      <c r="C7" s="178"/>
      <c r="D7" s="179"/>
      <c r="E7" s="182"/>
      <c r="F7" s="183" t="s">
        <v>20</v>
      </c>
      <c r="G7" s="184"/>
      <c r="H7" s="185"/>
      <c r="I7" s="182"/>
      <c r="J7" s="183" t="s">
        <v>24</v>
      </c>
      <c r="K7" s="184"/>
      <c r="L7" s="185"/>
      <c r="M7" s="70"/>
    </row>
    <row r="8" spans="1:19" ht="30" customHeight="1" x14ac:dyDescent="0.35">
      <c r="A8" s="167"/>
      <c r="B8" s="44" t="s">
        <v>25</v>
      </c>
      <c r="C8" s="45" t="s">
        <v>14</v>
      </c>
      <c r="D8" s="46" t="s">
        <v>26</v>
      </c>
      <c r="E8" s="182"/>
      <c r="F8" s="44" t="s">
        <v>25</v>
      </c>
      <c r="G8" s="46" t="s">
        <v>14</v>
      </c>
      <c r="H8" s="46" t="s">
        <v>26</v>
      </c>
      <c r="I8" s="182"/>
      <c r="J8" s="44" t="s">
        <v>25</v>
      </c>
      <c r="K8" s="46" t="s">
        <v>14</v>
      </c>
      <c r="L8" s="46" t="s">
        <v>26</v>
      </c>
      <c r="M8" s="70"/>
    </row>
    <row r="9" spans="1:19" ht="30" customHeight="1" x14ac:dyDescent="0.35">
      <c r="A9" s="167"/>
      <c r="B9" s="47" t="s">
        <v>0</v>
      </c>
      <c r="C9" s="31" t="str">
        <f>C17</f>
        <v>Bena/Raimundo</v>
      </c>
      <c r="D9" s="48" t="s">
        <v>27</v>
      </c>
      <c r="E9" s="182"/>
      <c r="F9" s="47" t="s">
        <v>2</v>
      </c>
      <c r="G9" s="54" t="str">
        <f>C18</f>
        <v>Miler/Divino</v>
      </c>
      <c r="H9" s="48" t="s">
        <v>28</v>
      </c>
      <c r="I9" s="182"/>
      <c r="J9" s="47" t="s">
        <v>3</v>
      </c>
      <c r="K9" s="55" t="str">
        <f>C19</f>
        <v>Marcão/Toni</v>
      </c>
      <c r="L9" s="48" t="s">
        <v>29</v>
      </c>
      <c r="M9" s="70"/>
    </row>
    <row r="10" spans="1:19" ht="30" customHeight="1" x14ac:dyDescent="0.35">
      <c r="A10" s="167"/>
      <c r="B10" s="47" t="s">
        <v>5</v>
      </c>
      <c r="C10" s="31" t="str">
        <f>C22</f>
        <v>Dedé/Marcelo Brito</v>
      </c>
      <c r="D10" s="48" t="s">
        <v>30</v>
      </c>
      <c r="E10" s="182"/>
      <c r="F10" s="47" t="s">
        <v>4</v>
      </c>
      <c r="G10" s="54" t="str">
        <f>C21</f>
        <v>Jorginho/Cláudio</v>
      </c>
      <c r="H10" s="48" t="s">
        <v>31</v>
      </c>
      <c r="I10" s="182"/>
      <c r="J10" s="47" t="s">
        <v>1</v>
      </c>
      <c r="K10" s="54" t="str">
        <f>C20</f>
        <v>Fábio/Manu</v>
      </c>
      <c r="L10" s="48" t="s">
        <v>32</v>
      </c>
      <c r="M10" s="70"/>
    </row>
    <row r="11" spans="1:19" ht="30" customHeight="1" thickBot="1" x14ac:dyDescent="0.4">
      <c r="A11" s="167"/>
      <c r="B11" s="49" t="s">
        <v>33</v>
      </c>
      <c r="C11" s="33" t="str">
        <f>C25</f>
        <v>Felício/Neudson</v>
      </c>
      <c r="D11" s="50" t="s">
        <v>34</v>
      </c>
      <c r="E11" s="182"/>
      <c r="F11" s="49" t="s">
        <v>7</v>
      </c>
      <c r="G11" s="84" t="str">
        <f>C24</f>
        <v>Marcello Sandi/Tut</v>
      </c>
      <c r="H11" s="50" t="s">
        <v>35</v>
      </c>
      <c r="I11" s="182"/>
      <c r="J11" s="49" t="s">
        <v>6</v>
      </c>
      <c r="K11" s="84" t="str">
        <f>C23</f>
        <v>George/Renato</v>
      </c>
      <c r="L11" s="50" t="s">
        <v>36</v>
      </c>
      <c r="M11" s="70"/>
    </row>
    <row r="12" spans="1:19" ht="30" customHeight="1" thickBot="1" x14ac:dyDescent="0.45">
      <c r="A12" s="167"/>
      <c r="B12" s="56"/>
      <c r="C12" s="57"/>
      <c r="D12" s="58"/>
      <c r="E12" s="28"/>
      <c r="F12" s="56"/>
      <c r="G12" s="57"/>
      <c r="H12" s="58"/>
      <c r="I12" s="28"/>
      <c r="J12" s="56"/>
      <c r="K12" s="57"/>
      <c r="L12" s="58"/>
      <c r="M12" s="70"/>
    </row>
    <row r="13" spans="1:19" ht="30" customHeight="1" thickBot="1" x14ac:dyDescent="0.45">
      <c r="A13" s="167"/>
      <c r="B13" s="79"/>
      <c r="C13" s="81"/>
      <c r="D13" s="82"/>
      <c r="E13" s="83"/>
      <c r="F13" s="79"/>
      <c r="G13" s="81"/>
      <c r="H13" s="82"/>
      <c r="I13" s="83"/>
      <c r="J13" s="79"/>
      <c r="K13" s="81"/>
      <c r="L13" s="82"/>
      <c r="M13" s="70"/>
    </row>
    <row r="14" spans="1:19" ht="30" customHeight="1" thickBot="1" x14ac:dyDescent="0.4">
      <c r="A14" s="167"/>
      <c r="B14" s="186" t="s">
        <v>164</v>
      </c>
      <c r="C14" s="187"/>
      <c r="D14" s="187"/>
      <c r="E14" s="187"/>
      <c r="F14" s="187"/>
      <c r="G14" s="187"/>
      <c r="H14" s="187"/>
      <c r="I14" s="187"/>
      <c r="J14" s="187"/>
      <c r="K14" s="187"/>
      <c r="L14" s="188"/>
      <c r="M14" s="70"/>
    </row>
    <row r="15" spans="1:19" ht="30" customHeight="1" thickBot="1" x14ac:dyDescent="0.4">
      <c r="A15" s="167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0"/>
    </row>
    <row r="16" spans="1:19" ht="30" customHeight="1" thickBot="1" x14ac:dyDescent="0.4">
      <c r="A16" s="167"/>
      <c r="B16" s="77" t="s">
        <v>25</v>
      </c>
      <c r="C16" s="152" t="s">
        <v>15</v>
      </c>
      <c r="D16" s="153"/>
      <c r="E16" s="153"/>
      <c r="F16" s="153"/>
      <c r="G16" s="153"/>
      <c r="H16" s="153"/>
      <c r="I16" s="147"/>
      <c r="J16" s="78" t="s">
        <v>26</v>
      </c>
      <c r="K16" s="146" t="s">
        <v>164</v>
      </c>
      <c r="L16" s="147"/>
      <c r="M16" s="40"/>
      <c r="O16" s="9" t="s">
        <v>166</v>
      </c>
      <c r="P16" s="136" t="s">
        <v>14</v>
      </c>
      <c r="Q16" s="136" t="s">
        <v>167</v>
      </c>
      <c r="R16" s="136" t="s">
        <v>168</v>
      </c>
      <c r="S16" s="137" t="s">
        <v>169</v>
      </c>
    </row>
    <row r="17" spans="1:19" ht="30" customHeight="1" x14ac:dyDescent="0.35">
      <c r="A17" s="167"/>
      <c r="B17" s="80" t="s">
        <v>0</v>
      </c>
      <c r="C17" s="154" t="s">
        <v>178</v>
      </c>
      <c r="D17" s="155"/>
      <c r="E17" s="155"/>
      <c r="F17" s="155"/>
      <c r="G17" s="155"/>
      <c r="H17" s="155"/>
      <c r="I17" s="156"/>
      <c r="J17" s="6" t="s">
        <v>27</v>
      </c>
      <c r="K17" s="148" t="s">
        <v>183</v>
      </c>
      <c r="L17" s="149"/>
      <c r="M17" s="40"/>
      <c r="O17" s="2" t="s">
        <v>0</v>
      </c>
      <c r="P17" s="96" t="s">
        <v>170</v>
      </c>
      <c r="Q17" s="4">
        <v>700</v>
      </c>
      <c r="R17" s="4">
        <v>560</v>
      </c>
      <c r="S17" s="138">
        <f t="shared" ref="S17:S25" si="0">Q17+R17</f>
        <v>1260</v>
      </c>
    </row>
    <row r="18" spans="1:19" ht="30" customHeight="1" x14ac:dyDescent="0.35">
      <c r="A18" s="167"/>
      <c r="B18" s="47" t="s">
        <v>2</v>
      </c>
      <c r="C18" s="143" t="s">
        <v>179</v>
      </c>
      <c r="D18" s="144"/>
      <c r="E18" s="144"/>
      <c r="F18" s="144"/>
      <c r="G18" s="144"/>
      <c r="H18" s="144"/>
      <c r="I18" s="145"/>
      <c r="J18" s="23" t="s">
        <v>28</v>
      </c>
      <c r="K18" s="150" t="s">
        <v>184</v>
      </c>
      <c r="L18" s="151"/>
      <c r="M18" s="40"/>
      <c r="O18" s="2" t="s">
        <v>2</v>
      </c>
      <c r="P18" s="96" t="s">
        <v>172</v>
      </c>
      <c r="Q18" s="4">
        <v>860</v>
      </c>
      <c r="R18" s="4">
        <v>0</v>
      </c>
      <c r="S18" s="138">
        <f t="shared" si="0"/>
        <v>860</v>
      </c>
    </row>
    <row r="19" spans="1:19" ht="30" customHeight="1" x14ac:dyDescent="0.35">
      <c r="A19" s="167"/>
      <c r="B19" s="47" t="s">
        <v>3</v>
      </c>
      <c r="C19" s="143" t="s">
        <v>180</v>
      </c>
      <c r="D19" s="144"/>
      <c r="E19" s="144"/>
      <c r="F19" s="144"/>
      <c r="G19" s="144"/>
      <c r="H19" s="144"/>
      <c r="I19" s="145"/>
      <c r="J19" s="23" t="s">
        <v>29</v>
      </c>
      <c r="K19" s="150" t="s">
        <v>185</v>
      </c>
      <c r="L19" s="151"/>
      <c r="M19" s="40"/>
      <c r="O19" s="2" t="s">
        <v>3</v>
      </c>
      <c r="P19" s="96" t="s">
        <v>173</v>
      </c>
      <c r="Q19" s="4">
        <v>500</v>
      </c>
      <c r="R19" s="4">
        <v>300</v>
      </c>
      <c r="S19" s="138">
        <f t="shared" si="0"/>
        <v>800</v>
      </c>
    </row>
    <row r="20" spans="1:19" ht="30" customHeight="1" x14ac:dyDescent="0.35">
      <c r="A20" s="167"/>
      <c r="B20" s="47" t="s">
        <v>1</v>
      </c>
      <c r="C20" s="143" t="s">
        <v>181</v>
      </c>
      <c r="D20" s="144"/>
      <c r="E20" s="144"/>
      <c r="F20" s="144"/>
      <c r="G20" s="144"/>
      <c r="H20" s="144"/>
      <c r="I20" s="145"/>
      <c r="J20" s="23" t="s">
        <v>32</v>
      </c>
      <c r="K20" s="150" t="s">
        <v>186</v>
      </c>
      <c r="L20" s="151"/>
      <c r="M20" s="40"/>
      <c r="O20" s="2" t="s">
        <v>1</v>
      </c>
      <c r="P20" s="96" t="s">
        <v>171</v>
      </c>
      <c r="Q20" s="4">
        <v>260</v>
      </c>
      <c r="R20" s="4">
        <v>120</v>
      </c>
      <c r="S20" s="138">
        <f t="shared" si="0"/>
        <v>380</v>
      </c>
    </row>
    <row r="21" spans="1:19" ht="30" customHeight="1" x14ac:dyDescent="0.35">
      <c r="A21" s="167"/>
      <c r="B21" s="47" t="s">
        <v>4</v>
      </c>
      <c r="C21" s="143" t="s">
        <v>182</v>
      </c>
      <c r="D21" s="144"/>
      <c r="E21" s="144"/>
      <c r="F21" s="144"/>
      <c r="G21" s="144"/>
      <c r="H21" s="144"/>
      <c r="I21" s="145"/>
      <c r="J21" s="23" t="s">
        <v>31</v>
      </c>
      <c r="K21" s="150" t="s">
        <v>187</v>
      </c>
      <c r="L21" s="151"/>
      <c r="M21" s="40"/>
      <c r="O21" s="2" t="s">
        <v>4</v>
      </c>
      <c r="P21" s="96" t="s">
        <v>176</v>
      </c>
      <c r="Q21" s="4">
        <v>240</v>
      </c>
      <c r="R21" s="4">
        <v>0</v>
      </c>
      <c r="S21" s="138">
        <f t="shared" si="0"/>
        <v>240</v>
      </c>
    </row>
    <row r="22" spans="1:19" ht="30" customHeight="1" x14ac:dyDescent="0.35">
      <c r="A22" s="167"/>
      <c r="B22" s="47" t="s">
        <v>5</v>
      </c>
      <c r="C22" s="143" t="s">
        <v>194</v>
      </c>
      <c r="D22" s="144"/>
      <c r="E22" s="144"/>
      <c r="F22" s="144"/>
      <c r="G22" s="144"/>
      <c r="H22" s="144"/>
      <c r="I22" s="145"/>
      <c r="J22" s="23" t="s">
        <v>30</v>
      </c>
      <c r="K22" s="150" t="s">
        <v>197</v>
      </c>
      <c r="L22" s="151"/>
      <c r="M22" s="40"/>
      <c r="O22" s="2" t="s">
        <v>5</v>
      </c>
      <c r="P22" s="96" t="s">
        <v>188</v>
      </c>
      <c r="Q22" s="4">
        <v>120</v>
      </c>
      <c r="R22" s="4">
        <v>0</v>
      </c>
      <c r="S22" s="138">
        <f t="shared" si="0"/>
        <v>120</v>
      </c>
    </row>
    <row r="23" spans="1:19" ht="30" customHeight="1" x14ac:dyDescent="0.35">
      <c r="A23" s="167"/>
      <c r="B23" s="47" t="s">
        <v>6</v>
      </c>
      <c r="C23" s="143" t="s">
        <v>200</v>
      </c>
      <c r="D23" s="144"/>
      <c r="E23" s="144"/>
      <c r="F23" s="144"/>
      <c r="G23" s="144"/>
      <c r="H23" s="144"/>
      <c r="I23" s="145"/>
      <c r="J23" s="23" t="s">
        <v>36</v>
      </c>
      <c r="K23" s="158" t="s">
        <v>201</v>
      </c>
      <c r="L23" s="159"/>
      <c r="M23" s="40"/>
      <c r="O23" s="2" t="s">
        <v>6</v>
      </c>
      <c r="P23" s="96" t="s">
        <v>174</v>
      </c>
      <c r="Q23" s="4">
        <v>120</v>
      </c>
      <c r="R23" s="4">
        <v>0</v>
      </c>
      <c r="S23" s="138">
        <f t="shared" si="0"/>
        <v>120</v>
      </c>
    </row>
    <row r="24" spans="1:19" ht="30" customHeight="1" x14ac:dyDescent="0.35">
      <c r="A24" s="167"/>
      <c r="B24" s="47" t="s">
        <v>7</v>
      </c>
      <c r="C24" s="143" t="s">
        <v>203</v>
      </c>
      <c r="D24" s="144"/>
      <c r="E24" s="144"/>
      <c r="F24" s="144"/>
      <c r="G24" s="144"/>
      <c r="H24" s="144"/>
      <c r="I24" s="145"/>
      <c r="J24" s="23" t="s">
        <v>35</v>
      </c>
      <c r="K24" s="150" t="s">
        <v>202</v>
      </c>
      <c r="L24" s="151"/>
      <c r="M24" s="40"/>
      <c r="O24" s="2" t="s">
        <v>7</v>
      </c>
      <c r="P24" s="96" t="s">
        <v>177</v>
      </c>
      <c r="Q24" s="4">
        <v>0</v>
      </c>
      <c r="R24" s="4">
        <v>0</v>
      </c>
      <c r="S24" s="138">
        <f t="shared" si="0"/>
        <v>0</v>
      </c>
    </row>
    <row r="25" spans="1:19" ht="30" customHeight="1" thickBot="1" x14ac:dyDescent="0.4">
      <c r="A25" s="167"/>
      <c r="B25" s="49" t="s">
        <v>33</v>
      </c>
      <c r="C25" s="163" t="s">
        <v>195</v>
      </c>
      <c r="D25" s="164"/>
      <c r="E25" s="164"/>
      <c r="F25" s="164"/>
      <c r="G25" s="164"/>
      <c r="H25" s="164"/>
      <c r="I25" s="165"/>
      <c r="J25" s="7" t="s">
        <v>34</v>
      </c>
      <c r="K25" s="161" t="s">
        <v>198</v>
      </c>
      <c r="L25" s="162"/>
      <c r="M25" s="40"/>
      <c r="O25" s="3" t="s">
        <v>33</v>
      </c>
      <c r="P25" s="139" t="s">
        <v>175</v>
      </c>
      <c r="Q25" s="140">
        <v>0</v>
      </c>
      <c r="R25" s="140">
        <v>0</v>
      </c>
      <c r="S25" s="141">
        <f t="shared" si="0"/>
        <v>0</v>
      </c>
    </row>
    <row r="26" spans="1:19" ht="30" customHeight="1" thickBot="1" x14ac:dyDescent="0.4">
      <c r="A26" s="168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71"/>
    </row>
    <row r="27" spans="1:19" ht="9.9" customHeight="1" x14ac:dyDescent="0.35"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</row>
    <row r="28" spans="1:19" ht="20.149999999999999" customHeight="1" x14ac:dyDescent="0.35"/>
    <row r="29" spans="1:19" ht="20.149999999999999" customHeight="1" thickBot="1" x14ac:dyDescent="0.4"/>
    <row r="30" spans="1:19" ht="20.149999999999999" customHeight="1" x14ac:dyDescent="0.35">
      <c r="C30" s="310" t="s">
        <v>178</v>
      </c>
    </row>
    <row r="31" spans="1:19" ht="20.149999999999999" customHeight="1" x14ac:dyDescent="0.35">
      <c r="C31" s="308" t="s">
        <v>179</v>
      </c>
    </row>
    <row r="32" spans="1:19" ht="20.149999999999999" customHeight="1" x14ac:dyDescent="0.35">
      <c r="C32" s="308" t="s">
        <v>180</v>
      </c>
    </row>
    <row r="33" spans="3:3" ht="20.149999999999999" customHeight="1" x14ac:dyDescent="0.35">
      <c r="C33" s="308" t="s">
        <v>181</v>
      </c>
    </row>
    <row r="34" spans="3:3" ht="20.149999999999999" customHeight="1" x14ac:dyDescent="0.35">
      <c r="C34" s="308" t="s">
        <v>182</v>
      </c>
    </row>
    <row r="35" spans="3:3" ht="20.149999999999999" customHeight="1" x14ac:dyDescent="0.35">
      <c r="C35" s="308" t="s">
        <v>194</v>
      </c>
    </row>
    <row r="36" spans="3:3" ht="20.149999999999999" customHeight="1" x14ac:dyDescent="0.35">
      <c r="C36" s="308" t="s">
        <v>200</v>
      </c>
    </row>
    <row r="37" spans="3:3" ht="20.149999999999999" customHeight="1" x14ac:dyDescent="0.35">
      <c r="C37" s="308" t="s">
        <v>203</v>
      </c>
    </row>
    <row r="38" spans="3:3" ht="20.149999999999999" customHeight="1" thickBot="1" x14ac:dyDescent="0.4">
      <c r="C38" s="309" t="s">
        <v>195</v>
      </c>
    </row>
    <row r="39" spans="3:3" ht="20.149999999999999" customHeight="1" x14ac:dyDescent="0.35"/>
    <row r="40" spans="3:3" ht="20.149999999999999" customHeight="1" x14ac:dyDescent="0.35"/>
    <row r="41" spans="3:3" ht="20.149999999999999" customHeight="1" x14ac:dyDescent="0.35"/>
    <row r="42" spans="3:3" ht="20.149999999999999" customHeight="1" x14ac:dyDescent="0.35"/>
    <row r="43" spans="3:3" ht="20.149999999999999" customHeight="1" x14ac:dyDescent="0.35"/>
  </sheetData>
  <sortState xmlns:xlrd2="http://schemas.microsoft.com/office/spreadsheetml/2017/richdata2" ref="P17:S25">
    <sortCondition descending="1" ref="S17:S25"/>
  </sortState>
  <mergeCells count="35">
    <mergeCell ref="A1:A26"/>
    <mergeCell ref="B1:L1"/>
    <mergeCell ref="B2:L2"/>
    <mergeCell ref="B4:L4"/>
    <mergeCell ref="B5:L5"/>
    <mergeCell ref="B6:L6"/>
    <mergeCell ref="B7:D7"/>
    <mergeCell ref="B3:L3"/>
    <mergeCell ref="E7:E11"/>
    <mergeCell ref="F7:H7"/>
    <mergeCell ref="I7:I11"/>
    <mergeCell ref="J7:L7"/>
    <mergeCell ref="B14:L14"/>
    <mergeCell ref="K20:L20"/>
    <mergeCell ref="K21:L21"/>
    <mergeCell ref="C21:I21"/>
    <mergeCell ref="B27:L27"/>
    <mergeCell ref="K22:L22"/>
    <mergeCell ref="K23:L23"/>
    <mergeCell ref="K24:L24"/>
    <mergeCell ref="B26:L26"/>
    <mergeCell ref="K25:L25"/>
    <mergeCell ref="C22:I22"/>
    <mergeCell ref="C23:I23"/>
    <mergeCell ref="C24:I24"/>
    <mergeCell ref="C25:I25"/>
    <mergeCell ref="C18:I18"/>
    <mergeCell ref="C19:I19"/>
    <mergeCell ref="C20:I20"/>
    <mergeCell ref="K16:L16"/>
    <mergeCell ref="K17:L17"/>
    <mergeCell ref="K18:L18"/>
    <mergeCell ref="K19:L19"/>
    <mergeCell ref="C16:I16"/>
    <mergeCell ref="C17:I17"/>
  </mergeCells>
  <phoneticPr fontId="3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1D39A-4BDD-44C9-8F3B-13FF8EC4948A}">
  <sheetPr>
    <pageSetUpPr fitToPage="1"/>
  </sheetPr>
  <dimension ref="A1:AB50"/>
  <sheetViews>
    <sheetView showGridLines="0" zoomScale="85" zoomScaleNormal="85" workbookViewId="0">
      <selection activeCell="G39" sqref="G39"/>
    </sheetView>
  </sheetViews>
  <sheetFormatPr defaultRowHeight="14.5" x14ac:dyDescent="0.35"/>
  <cols>
    <col min="1" max="1" width="5.36328125" customWidth="1"/>
    <col min="2" max="6" width="8.6328125" customWidth="1"/>
    <col min="7" max="7" width="34.6328125" customWidth="1"/>
    <col min="8" max="8" width="10.6328125" style="1" customWidth="1"/>
    <col min="9" max="9" width="6.6328125" customWidth="1"/>
    <col min="10" max="10" width="10.6328125" style="1" customWidth="1"/>
    <col min="11" max="11" width="34.6328125" customWidth="1"/>
    <col min="12" max="12" width="8.6328125" customWidth="1"/>
    <col min="13" max="15" width="5.36328125" customWidth="1"/>
    <col min="16" max="16" width="9.08984375" customWidth="1"/>
    <col min="17" max="17" width="25.6328125" bestFit="1" customWidth="1"/>
    <col min="18" max="23" width="9.08984375" customWidth="1"/>
    <col min="24" max="24" width="14.453125" customWidth="1"/>
    <col min="25" max="26" width="5.36328125" customWidth="1"/>
    <col min="27" max="27" width="9.08984375" customWidth="1"/>
    <col min="28" max="28" width="21.36328125" customWidth="1"/>
    <col min="29" max="29" width="9.08984375" customWidth="1"/>
  </cols>
  <sheetData>
    <row r="1" spans="1:28" ht="30" customHeight="1" thickBot="1" x14ac:dyDescent="0.4">
      <c r="A1" s="271"/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3"/>
    </row>
    <row r="2" spans="1:28" ht="65.150000000000006" customHeight="1" x14ac:dyDescent="0.35">
      <c r="A2" s="269"/>
      <c r="B2" s="170" t="s">
        <v>96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303"/>
    </row>
    <row r="3" spans="1:28" ht="40.25" customHeight="1" thickBot="1" x14ac:dyDescent="0.4">
      <c r="A3" s="269"/>
      <c r="B3" s="180" t="s">
        <v>95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303"/>
    </row>
    <row r="4" spans="1:28" ht="40.25" customHeight="1" thickBot="1" x14ac:dyDescent="0.4">
      <c r="A4" s="269"/>
      <c r="B4" s="305" t="s">
        <v>127</v>
      </c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3"/>
      <c r="O4" s="37"/>
      <c r="P4" s="5"/>
      <c r="Q4" s="5"/>
      <c r="R4" s="5"/>
      <c r="S4" s="5"/>
      <c r="T4" s="5"/>
      <c r="U4" s="5"/>
      <c r="V4" s="5"/>
      <c r="W4" s="5"/>
      <c r="X4" s="5"/>
      <c r="Y4" s="38"/>
    </row>
    <row r="5" spans="1:28" ht="40.25" customHeight="1" thickBot="1" x14ac:dyDescent="0.4">
      <c r="A5" s="269"/>
      <c r="B5" s="288" t="s">
        <v>97</v>
      </c>
      <c r="C5" s="289"/>
      <c r="D5" s="289"/>
      <c r="E5" s="289"/>
      <c r="F5" s="289"/>
      <c r="G5" s="289"/>
      <c r="H5" s="289"/>
      <c r="I5" s="289"/>
      <c r="J5" s="289"/>
      <c r="K5" s="289"/>
      <c r="L5" s="290"/>
      <c r="M5" s="303"/>
      <c r="O5" s="39"/>
      <c r="P5" s="282" t="s">
        <v>78</v>
      </c>
      <c r="Q5" s="283"/>
      <c r="R5" s="283"/>
      <c r="S5" s="283"/>
      <c r="T5" s="283"/>
      <c r="U5" s="283"/>
      <c r="V5" s="283"/>
      <c r="W5" s="283"/>
      <c r="X5" s="284"/>
      <c r="Y5" s="40"/>
    </row>
    <row r="6" spans="1:28" ht="30" customHeight="1" thickBot="1" x14ac:dyDescent="0.4">
      <c r="A6" s="269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303"/>
      <c r="O6" s="39"/>
      <c r="Y6" s="40"/>
      <c r="AA6" s="306" t="s">
        <v>82</v>
      </c>
      <c r="AB6" s="307"/>
    </row>
    <row r="7" spans="1:28" ht="30" customHeight="1" thickBot="1" x14ac:dyDescent="0.4">
      <c r="A7" s="269"/>
      <c r="B7" s="291" t="s">
        <v>22</v>
      </c>
      <c r="C7" s="292"/>
      <c r="D7" s="292"/>
      <c r="E7" s="292"/>
      <c r="F7" s="292"/>
      <c r="G7" s="292"/>
      <c r="H7" s="292"/>
      <c r="I7" s="292"/>
      <c r="J7" s="292"/>
      <c r="K7" s="292"/>
      <c r="L7" s="293"/>
      <c r="M7" s="303"/>
      <c r="O7" s="39"/>
      <c r="P7" s="295" t="s">
        <v>19</v>
      </c>
      <c r="Q7" s="296"/>
      <c r="R7" s="299" t="s">
        <v>75</v>
      </c>
      <c r="S7" s="300"/>
      <c r="T7" s="300"/>
      <c r="U7" s="300"/>
      <c r="V7" s="279" t="s">
        <v>76</v>
      </c>
      <c r="W7" s="280"/>
      <c r="X7" s="281"/>
      <c r="Y7" s="40"/>
      <c r="AA7" s="9" t="s">
        <v>84</v>
      </c>
      <c r="AB7" s="51" t="s">
        <v>83</v>
      </c>
    </row>
    <row r="8" spans="1:28" ht="30" customHeight="1" thickBot="1" x14ac:dyDescent="0.4">
      <c r="A8" s="269"/>
      <c r="B8" s="19" t="s">
        <v>8</v>
      </c>
      <c r="C8" s="85" t="s">
        <v>18</v>
      </c>
      <c r="D8" s="93" t="s">
        <v>9</v>
      </c>
      <c r="E8" s="18" t="s">
        <v>10</v>
      </c>
      <c r="F8" s="18" t="s">
        <v>37</v>
      </c>
      <c r="G8" s="18" t="s">
        <v>11</v>
      </c>
      <c r="H8" s="18"/>
      <c r="I8" s="18"/>
      <c r="J8" s="18"/>
      <c r="K8" s="18" t="s">
        <v>12</v>
      </c>
      <c r="L8" s="94" t="s">
        <v>37</v>
      </c>
      <c r="M8" s="303"/>
      <c r="O8" s="39"/>
      <c r="P8" s="297"/>
      <c r="Q8" s="298"/>
      <c r="R8" s="97" t="s">
        <v>84</v>
      </c>
      <c r="S8" s="98" t="s">
        <v>72</v>
      </c>
      <c r="T8" s="97" t="s">
        <v>84</v>
      </c>
      <c r="U8" s="98" t="s">
        <v>72</v>
      </c>
      <c r="V8" s="97" t="s">
        <v>86</v>
      </c>
      <c r="W8" s="99" t="s">
        <v>74</v>
      </c>
      <c r="X8" s="98" t="s">
        <v>77</v>
      </c>
      <c r="Y8" s="40"/>
      <c r="AA8" s="2" t="s">
        <v>72</v>
      </c>
      <c r="AB8" s="52" t="s">
        <v>85</v>
      </c>
    </row>
    <row r="9" spans="1:28" ht="30" customHeight="1" x14ac:dyDescent="0.35">
      <c r="A9" s="269"/>
      <c r="B9" s="20">
        <v>1</v>
      </c>
      <c r="C9" s="16" t="s">
        <v>16</v>
      </c>
      <c r="D9" s="16" t="s">
        <v>144</v>
      </c>
      <c r="E9" s="16"/>
      <c r="F9" s="88" t="s">
        <v>27</v>
      </c>
      <c r="G9" s="29" t="str">
        <f>GRUPOS!C9</f>
        <v>Bena/Raimundo</v>
      </c>
      <c r="H9" s="6"/>
      <c r="I9" s="6" t="s">
        <v>13</v>
      </c>
      <c r="J9" s="6"/>
      <c r="K9" s="133" t="str">
        <f>GRUPOS!C25</f>
        <v>Felício/Neudson</v>
      </c>
      <c r="L9" s="89" t="s">
        <v>34</v>
      </c>
      <c r="M9" s="303"/>
      <c r="O9" s="39"/>
      <c r="P9" s="100" t="s">
        <v>27</v>
      </c>
      <c r="Q9" s="101" t="str">
        <f>GRUPOS!C17</f>
        <v>Bena/Raimundo</v>
      </c>
      <c r="R9" s="100">
        <f>H9</f>
        <v>0</v>
      </c>
      <c r="S9" s="102">
        <f>J9</f>
        <v>0</v>
      </c>
      <c r="T9" s="100">
        <f>H15</f>
        <v>0</v>
      </c>
      <c r="U9" s="102">
        <f>J15</f>
        <v>0</v>
      </c>
      <c r="V9" s="103">
        <f t="shared" ref="V9:W11" si="0">R9+T9</f>
        <v>0</v>
      </c>
      <c r="W9" s="104">
        <f t="shared" si="0"/>
        <v>0</v>
      </c>
      <c r="X9" s="102" t="e">
        <f>V9/W9</f>
        <v>#DIV/0!</v>
      </c>
      <c r="Y9" s="40"/>
      <c r="AA9" s="2" t="s">
        <v>86</v>
      </c>
      <c r="AB9" s="52" t="s">
        <v>87</v>
      </c>
    </row>
    <row r="10" spans="1:28" ht="30" customHeight="1" thickBot="1" x14ac:dyDescent="0.4">
      <c r="A10" s="269"/>
      <c r="B10" s="21">
        <v>2</v>
      </c>
      <c r="C10" s="22" t="s">
        <v>17</v>
      </c>
      <c r="D10" s="22" t="s">
        <v>145</v>
      </c>
      <c r="E10" s="22"/>
      <c r="F10" s="23" t="s">
        <v>28</v>
      </c>
      <c r="G10" s="31" t="str">
        <f>GRUPOS!C18</f>
        <v>Miler/Divino</v>
      </c>
      <c r="H10" s="23"/>
      <c r="I10" s="23" t="s">
        <v>13</v>
      </c>
      <c r="J10" s="23"/>
      <c r="K10" s="134" t="str">
        <f>GRUPOS!C24</f>
        <v>Marcello Sandi/Tut</v>
      </c>
      <c r="L10" s="24" t="s">
        <v>35</v>
      </c>
      <c r="M10" s="303"/>
      <c r="O10" s="39"/>
      <c r="P10" s="105" t="s">
        <v>30</v>
      </c>
      <c r="Q10" s="106" t="str">
        <f>GRUPOS!C10</f>
        <v>Dedé/Marcelo Brito</v>
      </c>
      <c r="R10" s="105">
        <f>H12</f>
        <v>0</v>
      </c>
      <c r="S10" s="107">
        <f>J12</f>
        <v>0</v>
      </c>
      <c r="T10" s="105">
        <f>J15</f>
        <v>0</v>
      </c>
      <c r="U10" s="107">
        <f>H15</f>
        <v>0</v>
      </c>
      <c r="V10" s="108">
        <f t="shared" si="0"/>
        <v>0</v>
      </c>
      <c r="W10" s="109">
        <f t="shared" si="0"/>
        <v>0</v>
      </c>
      <c r="X10" s="107" t="e">
        <f t="shared" ref="X10:X11" si="1">V10/W10</f>
        <v>#DIV/0!</v>
      </c>
      <c r="Y10" s="40"/>
      <c r="AA10" s="3" t="s">
        <v>73</v>
      </c>
      <c r="AB10" s="53" t="s">
        <v>88</v>
      </c>
    </row>
    <row r="11" spans="1:28" ht="30" customHeight="1" thickBot="1" x14ac:dyDescent="0.4">
      <c r="A11" s="269"/>
      <c r="B11" s="25">
        <v>3</v>
      </c>
      <c r="C11" s="17" t="s">
        <v>38</v>
      </c>
      <c r="D11" s="17" t="s">
        <v>146</v>
      </c>
      <c r="E11" s="17"/>
      <c r="F11" s="90" t="s">
        <v>29</v>
      </c>
      <c r="G11" s="33" t="str">
        <f>GRUPOS!C19</f>
        <v>Marcão/Toni</v>
      </c>
      <c r="H11" s="7"/>
      <c r="I11" s="7" t="s">
        <v>13</v>
      </c>
      <c r="J11" s="7"/>
      <c r="K11" s="135" t="str">
        <f>GRUPOS!C23</f>
        <v>George/Renato</v>
      </c>
      <c r="L11" s="91" t="s">
        <v>36</v>
      </c>
      <c r="M11" s="303"/>
      <c r="O11" s="39"/>
      <c r="P11" s="110" t="s">
        <v>34</v>
      </c>
      <c r="Q11" s="111" t="str">
        <f>GRUPOS!C11</f>
        <v>Felício/Neudson</v>
      </c>
      <c r="R11" s="110">
        <f>J9</f>
        <v>0</v>
      </c>
      <c r="S11" s="112">
        <f>H9</f>
        <v>0</v>
      </c>
      <c r="T11" s="110">
        <f>J12</f>
        <v>0</v>
      </c>
      <c r="U11" s="112">
        <f>H12</f>
        <v>0</v>
      </c>
      <c r="V11" s="113">
        <f t="shared" si="0"/>
        <v>0</v>
      </c>
      <c r="W11" s="114">
        <f t="shared" si="0"/>
        <v>0</v>
      </c>
      <c r="X11" s="112" t="e">
        <f t="shared" si="1"/>
        <v>#DIV/0!</v>
      </c>
      <c r="Y11" s="40"/>
    </row>
    <row r="12" spans="1:28" ht="30" customHeight="1" thickBot="1" x14ac:dyDescent="0.4">
      <c r="A12" s="269"/>
      <c r="B12" s="20">
        <v>4</v>
      </c>
      <c r="C12" s="16" t="s">
        <v>16</v>
      </c>
      <c r="D12" s="16" t="s">
        <v>147</v>
      </c>
      <c r="E12" s="16"/>
      <c r="F12" s="88" t="s">
        <v>30</v>
      </c>
      <c r="G12" s="29" t="str">
        <f>GRUPOS!C22</f>
        <v>Dedé/Marcelo Brito</v>
      </c>
      <c r="H12" s="6"/>
      <c r="I12" s="6" t="s">
        <v>13</v>
      </c>
      <c r="J12" s="6"/>
      <c r="K12" s="133" t="str">
        <f>GRUPOS!C25</f>
        <v>Felício/Neudson</v>
      </c>
      <c r="L12" s="89" t="s">
        <v>34</v>
      </c>
      <c r="M12" s="303"/>
      <c r="O12" s="39"/>
      <c r="P12" s="115"/>
      <c r="Q12" s="115"/>
      <c r="R12" s="115"/>
      <c r="S12" s="115"/>
      <c r="T12" s="115"/>
      <c r="U12" s="115"/>
      <c r="V12" s="115"/>
      <c r="W12" s="115"/>
      <c r="X12" s="115"/>
      <c r="Y12" s="40"/>
    </row>
    <row r="13" spans="1:28" ht="30" customHeight="1" thickBot="1" x14ac:dyDescent="0.4">
      <c r="A13" s="269"/>
      <c r="B13" s="21">
        <v>5</v>
      </c>
      <c r="C13" s="22" t="s">
        <v>17</v>
      </c>
      <c r="D13" s="22" t="s">
        <v>148</v>
      </c>
      <c r="E13" s="22"/>
      <c r="F13" s="23" t="s">
        <v>31</v>
      </c>
      <c r="G13" s="31" t="str">
        <f>GRUPOS!C21</f>
        <v>Jorginho/Cláudio</v>
      </c>
      <c r="H13" s="23"/>
      <c r="I13" s="23" t="s">
        <v>13</v>
      </c>
      <c r="J13" s="23"/>
      <c r="K13" s="134" t="str">
        <f>GRUPOS!C24</f>
        <v>Marcello Sandi/Tut</v>
      </c>
      <c r="L13" s="24" t="s">
        <v>35</v>
      </c>
      <c r="M13" s="303"/>
      <c r="O13" s="39"/>
      <c r="P13" s="295" t="s">
        <v>20</v>
      </c>
      <c r="Q13" s="296"/>
      <c r="R13" s="299" t="s">
        <v>75</v>
      </c>
      <c r="S13" s="300"/>
      <c r="T13" s="300"/>
      <c r="U13" s="300"/>
      <c r="V13" s="279" t="s">
        <v>76</v>
      </c>
      <c r="W13" s="280"/>
      <c r="X13" s="281"/>
      <c r="Y13" s="40"/>
    </row>
    <row r="14" spans="1:28" ht="30" customHeight="1" thickBot="1" x14ac:dyDescent="0.4">
      <c r="A14" s="269"/>
      <c r="B14" s="25">
        <v>6</v>
      </c>
      <c r="C14" s="17" t="s">
        <v>38</v>
      </c>
      <c r="D14" s="17" t="s">
        <v>149</v>
      </c>
      <c r="E14" s="17"/>
      <c r="F14" s="7" t="s">
        <v>32</v>
      </c>
      <c r="G14" s="33" t="str">
        <f>GRUPOS!C20</f>
        <v>Fábio/Manu</v>
      </c>
      <c r="H14" s="92"/>
      <c r="I14" s="7" t="s">
        <v>13</v>
      </c>
      <c r="J14" s="7"/>
      <c r="K14" s="135" t="str">
        <f>GRUPOS!C23</f>
        <v>George/Renato</v>
      </c>
      <c r="L14" s="26" t="s">
        <v>36</v>
      </c>
      <c r="M14" s="303"/>
      <c r="O14" s="39"/>
      <c r="P14" s="297"/>
      <c r="Q14" s="298"/>
      <c r="R14" s="116" t="s">
        <v>84</v>
      </c>
      <c r="S14" s="117" t="s">
        <v>72</v>
      </c>
      <c r="T14" s="116" t="s">
        <v>84</v>
      </c>
      <c r="U14" s="117" t="s">
        <v>72</v>
      </c>
      <c r="V14" s="116" t="s">
        <v>86</v>
      </c>
      <c r="W14" s="118" t="s">
        <v>74</v>
      </c>
      <c r="X14" s="117" t="s">
        <v>77</v>
      </c>
      <c r="Y14" s="40"/>
    </row>
    <row r="15" spans="1:28" ht="30" customHeight="1" x14ac:dyDescent="0.35">
      <c r="A15" s="269"/>
      <c r="B15" s="20">
        <v>7</v>
      </c>
      <c r="C15" s="16" t="s">
        <v>39</v>
      </c>
      <c r="D15" s="16" t="s">
        <v>53</v>
      </c>
      <c r="E15" s="16"/>
      <c r="F15" s="6" t="s">
        <v>27</v>
      </c>
      <c r="G15" s="29" t="str">
        <f>GRUPOS!C17</f>
        <v>Bena/Raimundo</v>
      </c>
      <c r="H15" s="6"/>
      <c r="I15" s="6" t="s">
        <v>13</v>
      </c>
      <c r="J15" s="6"/>
      <c r="K15" s="133" t="str">
        <f>GRUPOS!C22</f>
        <v>Dedé/Marcelo Brito</v>
      </c>
      <c r="L15" s="27" t="s">
        <v>30</v>
      </c>
      <c r="M15" s="303"/>
      <c r="O15" s="39"/>
      <c r="P15" s="100" t="s">
        <v>28</v>
      </c>
      <c r="Q15" s="119" t="str">
        <f>GRUPOS!G9</f>
        <v>Miler/Divino</v>
      </c>
      <c r="R15" s="100">
        <f>H10</f>
        <v>0</v>
      </c>
      <c r="S15" s="102">
        <f>J10</f>
        <v>0</v>
      </c>
      <c r="T15" s="100">
        <f>H16</f>
        <v>0</v>
      </c>
      <c r="U15" s="102">
        <f>J16</f>
        <v>0</v>
      </c>
      <c r="V15" s="103">
        <f t="shared" ref="V15:W17" si="2">R15+T15</f>
        <v>0</v>
      </c>
      <c r="W15" s="104">
        <f t="shared" si="2"/>
        <v>0</v>
      </c>
      <c r="X15" s="102" t="e">
        <f>V15/W15</f>
        <v>#DIV/0!</v>
      </c>
      <c r="Y15" s="40"/>
    </row>
    <row r="16" spans="1:28" ht="30" customHeight="1" x14ac:dyDescent="0.35">
      <c r="A16" s="269"/>
      <c r="B16" s="21">
        <v>8</v>
      </c>
      <c r="C16" s="22" t="s">
        <v>16</v>
      </c>
      <c r="D16" s="22" t="s">
        <v>54</v>
      </c>
      <c r="E16" s="22"/>
      <c r="F16" s="23" t="s">
        <v>28</v>
      </c>
      <c r="G16" s="31" t="str">
        <f>GRUPOS!C18</f>
        <v>Miler/Divino</v>
      </c>
      <c r="H16" s="23"/>
      <c r="I16" s="23" t="s">
        <v>13</v>
      </c>
      <c r="J16" s="23"/>
      <c r="K16" s="134" t="str">
        <f>GRUPOS!C21</f>
        <v>Jorginho/Cláudio</v>
      </c>
      <c r="L16" s="24" t="s">
        <v>31</v>
      </c>
      <c r="M16" s="303"/>
      <c r="O16" s="39"/>
      <c r="P16" s="105" t="s">
        <v>31</v>
      </c>
      <c r="Q16" s="120" t="str">
        <f>GRUPOS!G10</f>
        <v>Jorginho/Cláudio</v>
      </c>
      <c r="R16" s="105">
        <f>H13</f>
        <v>0</v>
      </c>
      <c r="S16" s="107">
        <f>J13</f>
        <v>0</v>
      </c>
      <c r="T16" s="105">
        <f>J16</f>
        <v>0</v>
      </c>
      <c r="U16" s="107">
        <f>H16</f>
        <v>0</v>
      </c>
      <c r="V16" s="108">
        <f t="shared" si="2"/>
        <v>0</v>
      </c>
      <c r="W16" s="109">
        <f t="shared" si="2"/>
        <v>0</v>
      </c>
      <c r="X16" s="107" t="e">
        <f t="shared" ref="X16:X17" si="3">V16/W16</f>
        <v>#DIV/0!</v>
      </c>
      <c r="Y16" s="40"/>
    </row>
    <row r="17" spans="1:25" ht="30" customHeight="1" thickBot="1" x14ac:dyDescent="0.4">
      <c r="A17" s="269"/>
      <c r="B17" s="25">
        <v>9</v>
      </c>
      <c r="C17" s="17" t="s">
        <v>17</v>
      </c>
      <c r="D17" s="17" t="s">
        <v>199</v>
      </c>
      <c r="E17" s="17"/>
      <c r="F17" s="7" t="s">
        <v>29</v>
      </c>
      <c r="G17" s="33" t="str">
        <f>GRUPOS!C19</f>
        <v>Marcão/Toni</v>
      </c>
      <c r="H17" s="7"/>
      <c r="I17" s="7" t="s">
        <v>13</v>
      </c>
      <c r="J17" s="7"/>
      <c r="K17" s="135" t="str">
        <f>GRUPOS!C20</f>
        <v>Fábio/Manu</v>
      </c>
      <c r="L17" s="26" t="s">
        <v>32</v>
      </c>
      <c r="M17" s="303"/>
      <c r="O17" s="39"/>
      <c r="P17" s="110" t="s">
        <v>35</v>
      </c>
      <c r="Q17" s="121" t="str">
        <f>GRUPOS!G11</f>
        <v>Marcello Sandi/Tut</v>
      </c>
      <c r="R17" s="110">
        <f>J10</f>
        <v>0</v>
      </c>
      <c r="S17" s="112">
        <f>H10</f>
        <v>0</v>
      </c>
      <c r="T17" s="110">
        <f>J13</f>
        <v>0</v>
      </c>
      <c r="U17" s="112">
        <f>H13</f>
        <v>0</v>
      </c>
      <c r="V17" s="113">
        <f t="shared" si="2"/>
        <v>0</v>
      </c>
      <c r="W17" s="114">
        <f t="shared" si="2"/>
        <v>0</v>
      </c>
      <c r="X17" s="112" t="e">
        <f t="shared" si="3"/>
        <v>#DIV/0!</v>
      </c>
      <c r="Y17" s="40"/>
    </row>
    <row r="18" spans="1:25" ht="30" customHeight="1" thickBot="1" x14ac:dyDescent="0.45">
      <c r="A18" s="269"/>
      <c r="B18" s="294"/>
      <c r="C18" s="294"/>
      <c r="D18" s="294"/>
      <c r="E18" s="294"/>
      <c r="F18" s="294"/>
      <c r="G18" s="294"/>
      <c r="H18" s="294"/>
      <c r="I18" s="294"/>
      <c r="J18" s="294"/>
      <c r="K18" s="294"/>
      <c r="L18" s="294"/>
      <c r="M18" s="303"/>
      <c r="O18" s="39"/>
      <c r="P18" s="115"/>
      <c r="Q18" s="115"/>
      <c r="R18" s="115"/>
      <c r="S18" s="115"/>
      <c r="T18" s="115"/>
      <c r="U18" s="115"/>
      <c r="V18" s="115"/>
      <c r="W18" s="115"/>
      <c r="X18" s="115"/>
      <c r="Y18" s="40"/>
    </row>
    <row r="19" spans="1:25" ht="30" customHeight="1" thickBot="1" x14ac:dyDescent="0.4">
      <c r="A19" s="269"/>
      <c r="B19" s="291" t="s">
        <v>40</v>
      </c>
      <c r="C19" s="292"/>
      <c r="D19" s="292"/>
      <c r="E19" s="292"/>
      <c r="F19" s="292"/>
      <c r="G19" s="292"/>
      <c r="H19" s="292"/>
      <c r="I19" s="292"/>
      <c r="J19" s="292"/>
      <c r="K19" s="292"/>
      <c r="L19" s="293"/>
      <c r="M19" s="303"/>
      <c r="O19" s="39"/>
      <c r="P19" s="295" t="s">
        <v>24</v>
      </c>
      <c r="Q19" s="296"/>
      <c r="R19" s="299" t="s">
        <v>75</v>
      </c>
      <c r="S19" s="300"/>
      <c r="T19" s="300"/>
      <c r="U19" s="300"/>
      <c r="V19" s="279" t="s">
        <v>76</v>
      </c>
      <c r="W19" s="280"/>
      <c r="X19" s="281"/>
      <c r="Y19" s="40"/>
    </row>
    <row r="20" spans="1:25" ht="30" customHeight="1" thickBot="1" x14ac:dyDescent="0.4">
      <c r="A20" s="269"/>
      <c r="B20" s="20">
        <v>10</v>
      </c>
      <c r="C20" s="16" t="s">
        <v>89</v>
      </c>
      <c r="D20" s="16" t="s">
        <v>55</v>
      </c>
      <c r="E20" s="16"/>
      <c r="F20" s="6" t="s">
        <v>64</v>
      </c>
      <c r="G20" s="29" t="str">
        <f>R27</f>
        <v>1º Geral</v>
      </c>
      <c r="H20" s="6"/>
      <c r="I20" s="6" t="s">
        <v>13</v>
      </c>
      <c r="J20" s="6"/>
      <c r="K20" s="30" t="str">
        <f>R34</f>
        <v>8º Geral</v>
      </c>
      <c r="L20" s="27" t="s">
        <v>68</v>
      </c>
      <c r="M20" s="303"/>
      <c r="O20" s="39"/>
      <c r="P20" s="297"/>
      <c r="Q20" s="298"/>
      <c r="R20" s="116" t="s">
        <v>84</v>
      </c>
      <c r="S20" s="117" t="s">
        <v>72</v>
      </c>
      <c r="T20" s="116" t="s">
        <v>84</v>
      </c>
      <c r="U20" s="117" t="s">
        <v>72</v>
      </c>
      <c r="V20" s="116" t="s">
        <v>86</v>
      </c>
      <c r="W20" s="118" t="s">
        <v>74</v>
      </c>
      <c r="X20" s="117" t="s">
        <v>77</v>
      </c>
      <c r="Y20" s="40"/>
    </row>
    <row r="21" spans="1:25" ht="30" customHeight="1" x14ac:dyDescent="0.35">
      <c r="A21" s="269"/>
      <c r="B21" s="21">
        <v>11</v>
      </c>
      <c r="C21" s="22" t="s">
        <v>90</v>
      </c>
      <c r="D21" s="22" t="s">
        <v>56</v>
      </c>
      <c r="E21" s="22"/>
      <c r="F21" s="23" t="s">
        <v>65</v>
      </c>
      <c r="G21" s="31" t="str">
        <f>R30</f>
        <v>4º Geral</v>
      </c>
      <c r="H21" s="23"/>
      <c r="I21" s="23" t="s">
        <v>13</v>
      </c>
      <c r="J21" s="23"/>
      <c r="K21" s="32" t="str">
        <f>R31</f>
        <v>5º Geral</v>
      </c>
      <c r="L21" s="24" t="s">
        <v>69</v>
      </c>
      <c r="M21" s="303"/>
      <c r="O21" s="39"/>
      <c r="P21" s="100" t="s">
        <v>29</v>
      </c>
      <c r="Q21" s="122" t="str">
        <f>GRUPOS!K9</f>
        <v>Marcão/Toni</v>
      </c>
      <c r="R21" s="100">
        <f>H11</f>
        <v>0</v>
      </c>
      <c r="S21" s="102">
        <f>J11</f>
        <v>0</v>
      </c>
      <c r="T21" s="100">
        <f>H17</f>
        <v>0</v>
      </c>
      <c r="U21" s="102">
        <f>J17</f>
        <v>0</v>
      </c>
      <c r="V21" s="103">
        <f t="shared" ref="V21:W23" si="4">R21+T21</f>
        <v>0</v>
      </c>
      <c r="W21" s="104">
        <f t="shared" si="4"/>
        <v>0</v>
      </c>
      <c r="X21" s="102" t="e">
        <f>V21/W21</f>
        <v>#DIV/0!</v>
      </c>
      <c r="Y21" s="40"/>
    </row>
    <row r="22" spans="1:25" ht="30" customHeight="1" x14ac:dyDescent="0.35">
      <c r="A22" s="269"/>
      <c r="B22" s="21">
        <v>12</v>
      </c>
      <c r="C22" s="22" t="s">
        <v>91</v>
      </c>
      <c r="D22" s="22" t="s">
        <v>57</v>
      </c>
      <c r="E22" s="22"/>
      <c r="F22" s="23" t="s">
        <v>66</v>
      </c>
      <c r="G22" s="31" t="str">
        <f>R28</f>
        <v>2º Geral</v>
      </c>
      <c r="H22" s="23"/>
      <c r="I22" s="23" t="s">
        <v>13</v>
      </c>
      <c r="J22" s="23"/>
      <c r="K22" s="32" t="str">
        <f>R33</f>
        <v>7º Geral</v>
      </c>
      <c r="L22" s="24" t="s">
        <v>70</v>
      </c>
      <c r="M22" s="303"/>
      <c r="O22" s="39"/>
      <c r="P22" s="105" t="s">
        <v>32</v>
      </c>
      <c r="Q22" s="120" t="str">
        <f>GRUPOS!K10</f>
        <v>Fábio/Manu</v>
      </c>
      <c r="R22" s="105">
        <f>H14</f>
        <v>0</v>
      </c>
      <c r="S22" s="107">
        <f>J14</f>
        <v>0</v>
      </c>
      <c r="T22" s="105">
        <f>J17</f>
        <v>0</v>
      </c>
      <c r="U22" s="107">
        <f>H17</f>
        <v>0</v>
      </c>
      <c r="V22" s="108">
        <f t="shared" si="4"/>
        <v>0</v>
      </c>
      <c r="W22" s="109">
        <f t="shared" si="4"/>
        <v>0</v>
      </c>
      <c r="X22" s="107" t="e">
        <f t="shared" ref="X22:X23" si="5">V22/W22</f>
        <v>#DIV/0!</v>
      </c>
      <c r="Y22" s="40"/>
    </row>
    <row r="23" spans="1:25" ht="30" customHeight="1" thickBot="1" x14ac:dyDescent="0.4">
      <c r="A23" s="269"/>
      <c r="B23" s="25">
        <v>13</v>
      </c>
      <c r="C23" s="17" t="s">
        <v>92</v>
      </c>
      <c r="D23" s="17" t="s">
        <v>58</v>
      </c>
      <c r="E23" s="17"/>
      <c r="F23" s="7" t="s">
        <v>67</v>
      </c>
      <c r="G23" s="33" t="str">
        <f>R29</f>
        <v>3º Geral</v>
      </c>
      <c r="H23" s="7"/>
      <c r="I23" s="7" t="s">
        <v>13</v>
      </c>
      <c r="J23" s="7"/>
      <c r="K23" s="34" t="str">
        <f>R32</f>
        <v>6º Geral</v>
      </c>
      <c r="L23" s="26" t="s">
        <v>71</v>
      </c>
      <c r="M23" s="303"/>
      <c r="O23" s="39"/>
      <c r="P23" s="110" t="s">
        <v>36</v>
      </c>
      <c r="Q23" s="121" t="str">
        <f>GRUPOS!K11</f>
        <v>George/Renato</v>
      </c>
      <c r="R23" s="110">
        <f>J11</f>
        <v>0</v>
      </c>
      <c r="S23" s="112">
        <f>H11</f>
        <v>0</v>
      </c>
      <c r="T23" s="110">
        <f>J14</f>
        <v>0</v>
      </c>
      <c r="U23" s="112">
        <f>H14</f>
        <v>0</v>
      </c>
      <c r="V23" s="113">
        <f t="shared" si="4"/>
        <v>0</v>
      </c>
      <c r="W23" s="114">
        <f t="shared" si="4"/>
        <v>0</v>
      </c>
      <c r="X23" s="112" t="e">
        <f t="shared" si="5"/>
        <v>#DIV/0!</v>
      </c>
      <c r="Y23" s="40"/>
    </row>
    <row r="24" spans="1:25" ht="30" customHeight="1" thickBot="1" x14ac:dyDescent="0.45">
      <c r="A24" s="269"/>
      <c r="B24" s="294"/>
      <c r="C24" s="294"/>
      <c r="D24" s="294"/>
      <c r="E24" s="294"/>
      <c r="F24" s="294"/>
      <c r="G24" s="294"/>
      <c r="H24" s="294"/>
      <c r="I24" s="294"/>
      <c r="J24" s="294"/>
      <c r="K24" s="294"/>
      <c r="L24" s="294"/>
      <c r="M24" s="303"/>
      <c r="O24" s="39"/>
      <c r="P24" s="115"/>
      <c r="Q24" s="115"/>
      <c r="R24" s="115"/>
      <c r="S24" s="115"/>
      <c r="T24" s="115"/>
      <c r="U24" s="115"/>
      <c r="V24" s="115"/>
      <c r="W24" s="115"/>
      <c r="X24" s="115"/>
      <c r="Y24" s="40"/>
    </row>
    <row r="25" spans="1:25" ht="30" customHeight="1" thickBot="1" x14ac:dyDescent="0.4">
      <c r="A25" s="269"/>
      <c r="B25" s="291" t="s">
        <v>21</v>
      </c>
      <c r="C25" s="292"/>
      <c r="D25" s="292"/>
      <c r="E25" s="292"/>
      <c r="F25" s="292"/>
      <c r="G25" s="292"/>
      <c r="H25" s="292"/>
      <c r="I25" s="292"/>
      <c r="J25" s="292"/>
      <c r="K25" s="292"/>
      <c r="L25" s="293"/>
      <c r="M25" s="303"/>
      <c r="O25" s="39"/>
      <c r="P25" s="285" t="s">
        <v>79</v>
      </c>
      <c r="Q25" s="286"/>
      <c r="R25" s="286"/>
      <c r="S25" s="286"/>
      <c r="T25" s="286"/>
      <c r="U25" s="286"/>
      <c r="V25" s="286"/>
      <c r="W25" s="286"/>
      <c r="X25" s="287"/>
      <c r="Y25" s="40"/>
    </row>
    <row r="26" spans="1:25" ht="30" customHeight="1" thickBot="1" x14ac:dyDescent="0.4">
      <c r="A26" s="269"/>
      <c r="B26" s="20">
        <v>14</v>
      </c>
      <c r="C26" s="16" t="s">
        <v>93</v>
      </c>
      <c r="D26" s="16" t="s">
        <v>59</v>
      </c>
      <c r="E26" s="16"/>
      <c r="F26" s="6" t="s">
        <v>154</v>
      </c>
      <c r="G26" s="10" t="s">
        <v>151</v>
      </c>
      <c r="H26" s="6"/>
      <c r="I26" s="16" t="s">
        <v>13</v>
      </c>
      <c r="J26" s="6"/>
      <c r="K26" s="12" t="s">
        <v>152</v>
      </c>
      <c r="L26" s="27" t="s">
        <v>153</v>
      </c>
      <c r="M26" s="303"/>
      <c r="O26" s="39"/>
      <c r="P26" s="123" t="s">
        <v>80</v>
      </c>
      <c r="Q26" s="124" t="s">
        <v>18</v>
      </c>
      <c r="R26" s="274" t="s">
        <v>15</v>
      </c>
      <c r="S26" s="275"/>
      <c r="T26" s="275"/>
      <c r="U26" s="275"/>
      <c r="V26" s="275"/>
      <c r="W26" s="276"/>
      <c r="X26" s="125" t="s">
        <v>81</v>
      </c>
      <c r="Y26" s="40"/>
    </row>
    <row r="27" spans="1:25" ht="30" customHeight="1" thickBot="1" x14ac:dyDescent="0.4">
      <c r="A27" s="269"/>
      <c r="B27" s="25">
        <v>15</v>
      </c>
      <c r="C27" s="17" t="s">
        <v>94</v>
      </c>
      <c r="D27" s="17" t="s">
        <v>60</v>
      </c>
      <c r="E27" s="17"/>
      <c r="F27" s="7" t="s">
        <v>155</v>
      </c>
      <c r="G27" s="11" t="s">
        <v>157</v>
      </c>
      <c r="H27" s="7"/>
      <c r="I27" s="17" t="s">
        <v>13</v>
      </c>
      <c r="J27" s="7"/>
      <c r="K27" s="13" t="s">
        <v>156</v>
      </c>
      <c r="L27" s="26" t="s">
        <v>62</v>
      </c>
      <c r="M27" s="303"/>
      <c r="O27" s="39"/>
      <c r="P27" s="100" t="s">
        <v>0</v>
      </c>
      <c r="Q27" s="104"/>
      <c r="R27" s="277" t="s">
        <v>44</v>
      </c>
      <c r="S27" s="277"/>
      <c r="T27" s="277"/>
      <c r="U27" s="277"/>
      <c r="V27" s="277"/>
      <c r="W27" s="277"/>
      <c r="X27" s="102"/>
      <c r="Y27" s="40"/>
    </row>
    <row r="28" spans="1:25" ht="30" customHeight="1" thickBot="1" x14ac:dyDescent="0.45">
      <c r="A28" s="269"/>
      <c r="B28" s="294"/>
      <c r="C28" s="294"/>
      <c r="D28" s="294"/>
      <c r="E28" s="294"/>
      <c r="F28" s="294"/>
      <c r="G28" s="294"/>
      <c r="H28" s="294"/>
      <c r="I28" s="294"/>
      <c r="J28" s="294"/>
      <c r="K28" s="294"/>
      <c r="L28" s="294"/>
      <c r="M28" s="303"/>
      <c r="O28" s="39"/>
      <c r="P28" s="105" t="s">
        <v>2</v>
      </c>
      <c r="Q28" s="109"/>
      <c r="R28" s="278" t="s">
        <v>45</v>
      </c>
      <c r="S28" s="278"/>
      <c r="T28" s="278"/>
      <c r="U28" s="278"/>
      <c r="V28" s="278"/>
      <c r="W28" s="278"/>
      <c r="X28" s="107"/>
      <c r="Y28" s="40"/>
    </row>
    <row r="29" spans="1:25" ht="30" customHeight="1" thickBot="1" x14ac:dyDescent="0.4">
      <c r="A29" s="269"/>
      <c r="B29" s="291" t="s">
        <v>41</v>
      </c>
      <c r="C29" s="292"/>
      <c r="D29" s="292"/>
      <c r="E29" s="292"/>
      <c r="F29" s="292"/>
      <c r="G29" s="292"/>
      <c r="H29" s="292"/>
      <c r="I29" s="292"/>
      <c r="J29" s="292"/>
      <c r="K29" s="292"/>
      <c r="L29" s="293"/>
      <c r="M29" s="303"/>
      <c r="O29" s="39"/>
      <c r="P29" s="105" t="s">
        <v>3</v>
      </c>
      <c r="Q29" s="109"/>
      <c r="R29" s="278" t="s">
        <v>46</v>
      </c>
      <c r="S29" s="278"/>
      <c r="T29" s="278"/>
      <c r="U29" s="278"/>
      <c r="V29" s="278"/>
      <c r="W29" s="278"/>
      <c r="X29" s="107"/>
      <c r="Y29" s="40"/>
    </row>
    <row r="30" spans="1:25" ht="30" customHeight="1" thickBot="1" x14ac:dyDescent="0.4">
      <c r="A30" s="269"/>
      <c r="B30" s="95">
        <v>16</v>
      </c>
      <c r="C30" s="93" t="s">
        <v>42</v>
      </c>
      <c r="D30" s="18" t="s">
        <v>61</v>
      </c>
      <c r="E30" s="18"/>
      <c r="F30" s="8" t="s">
        <v>158</v>
      </c>
      <c r="G30" s="15" t="s">
        <v>161</v>
      </c>
      <c r="H30" s="8"/>
      <c r="I30" s="18" t="s">
        <v>13</v>
      </c>
      <c r="J30" s="8"/>
      <c r="K30" s="14" t="s">
        <v>160</v>
      </c>
      <c r="L30" s="36" t="s">
        <v>159</v>
      </c>
      <c r="M30" s="303"/>
      <c r="O30" s="39"/>
      <c r="P30" s="126" t="s">
        <v>1</v>
      </c>
      <c r="Q30" s="127"/>
      <c r="R30" s="302" t="s">
        <v>47</v>
      </c>
      <c r="S30" s="302"/>
      <c r="T30" s="302"/>
      <c r="U30" s="302"/>
      <c r="V30" s="302"/>
      <c r="W30" s="302"/>
      <c r="X30" s="128"/>
      <c r="Y30" s="40"/>
    </row>
    <row r="31" spans="1:25" ht="30" customHeight="1" thickBot="1" x14ac:dyDescent="0.45">
      <c r="A31" s="269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303"/>
      <c r="O31" s="39"/>
      <c r="P31" s="100" t="s">
        <v>4</v>
      </c>
      <c r="Q31" s="104"/>
      <c r="R31" s="277" t="s">
        <v>48</v>
      </c>
      <c r="S31" s="277"/>
      <c r="T31" s="277"/>
      <c r="U31" s="277"/>
      <c r="V31" s="277"/>
      <c r="W31" s="277"/>
      <c r="X31" s="102"/>
      <c r="Y31" s="40"/>
    </row>
    <row r="32" spans="1:25" ht="30" customHeight="1" thickBot="1" x14ac:dyDescent="0.4">
      <c r="A32" s="269"/>
      <c r="B32" s="291" t="s">
        <v>165</v>
      </c>
      <c r="C32" s="292"/>
      <c r="D32" s="292"/>
      <c r="E32" s="292"/>
      <c r="F32" s="292"/>
      <c r="G32" s="292"/>
      <c r="H32" s="292"/>
      <c r="I32" s="292"/>
      <c r="J32" s="292"/>
      <c r="K32" s="292"/>
      <c r="L32" s="293"/>
      <c r="M32" s="303"/>
      <c r="O32" s="39"/>
      <c r="P32" s="105" t="s">
        <v>5</v>
      </c>
      <c r="Q32" s="129"/>
      <c r="R32" s="278" t="s">
        <v>49</v>
      </c>
      <c r="S32" s="278"/>
      <c r="T32" s="278"/>
      <c r="U32" s="278"/>
      <c r="V32" s="278"/>
      <c r="W32" s="278"/>
      <c r="X32" s="130"/>
      <c r="Y32" s="40"/>
    </row>
    <row r="33" spans="1:25" ht="30" customHeight="1" thickBot="1" x14ac:dyDescent="0.4">
      <c r="A33" s="269"/>
      <c r="B33" s="35">
        <v>17</v>
      </c>
      <c r="C33" s="18" t="s">
        <v>43</v>
      </c>
      <c r="D33" s="18" t="s">
        <v>150</v>
      </c>
      <c r="E33" s="18"/>
      <c r="F33" s="8" t="s">
        <v>52</v>
      </c>
      <c r="G33" s="15" t="s">
        <v>162</v>
      </c>
      <c r="H33" s="8"/>
      <c r="I33" s="18" t="s">
        <v>13</v>
      </c>
      <c r="J33" s="8"/>
      <c r="K33" s="14" t="s">
        <v>163</v>
      </c>
      <c r="L33" s="36" t="s">
        <v>63</v>
      </c>
      <c r="M33" s="303"/>
      <c r="O33" s="39"/>
      <c r="P33" s="105" t="s">
        <v>6</v>
      </c>
      <c r="Q33" s="129"/>
      <c r="R33" s="278" t="s">
        <v>50</v>
      </c>
      <c r="S33" s="278"/>
      <c r="T33" s="278"/>
      <c r="U33" s="278"/>
      <c r="V33" s="278"/>
      <c r="W33" s="278"/>
      <c r="X33" s="130"/>
      <c r="Y33" s="40"/>
    </row>
    <row r="34" spans="1:25" ht="30" customHeight="1" thickBot="1" x14ac:dyDescent="0.4">
      <c r="A34" s="270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304"/>
      <c r="O34" s="39"/>
      <c r="P34" s="110" t="s">
        <v>7</v>
      </c>
      <c r="Q34" s="131"/>
      <c r="R34" s="301" t="s">
        <v>51</v>
      </c>
      <c r="S34" s="301"/>
      <c r="T34" s="301"/>
      <c r="U34" s="301"/>
      <c r="V34" s="301"/>
      <c r="W34" s="301"/>
      <c r="X34" s="132"/>
      <c r="Y34" s="40"/>
    </row>
    <row r="35" spans="1:25" ht="30" customHeight="1" thickBot="1" x14ac:dyDescent="0.4">
      <c r="A35" s="87"/>
      <c r="M35" s="86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3"/>
    </row>
    <row r="36" spans="1:25" ht="30" customHeight="1" x14ac:dyDescent="0.35"/>
    <row r="37" spans="1:25" ht="30" customHeight="1" x14ac:dyDescent="0.35"/>
    <row r="38" spans="1:25" ht="30" customHeight="1" x14ac:dyDescent="0.35"/>
    <row r="39" spans="1:25" ht="30" customHeight="1" x14ac:dyDescent="0.35"/>
    <row r="40" spans="1:25" ht="30" customHeight="1" x14ac:dyDescent="0.35"/>
    <row r="41" spans="1:25" ht="30" customHeight="1" x14ac:dyDescent="0.35"/>
    <row r="42" spans="1:25" ht="30" customHeight="1" x14ac:dyDescent="0.35"/>
    <row r="43" spans="1:25" ht="30" customHeight="1" x14ac:dyDescent="0.35"/>
    <row r="44" spans="1:25" ht="30" customHeight="1" x14ac:dyDescent="0.35"/>
    <row r="45" spans="1:25" ht="30" customHeight="1" x14ac:dyDescent="0.35"/>
    <row r="46" spans="1:25" ht="30" customHeight="1" x14ac:dyDescent="0.35"/>
    <row r="47" spans="1:25" ht="30" customHeight="1" x14ac:dyDescent="0.35"/>
    <row r="48" spans="1:25" ht="30" customHeight="1" x14ac:dyDescent="0.35"/>
    <row r="49" ht="30" customHeight="1" x14ac:dyDescent="0.35"/>
    <row r="50" ht="30" customHeight="1" x14ac:dyDescent="0.35"/>
  </sheetData>
  <mergeCells count="38">
    <mergeCell ref="AA6:AB6"/>
    <mergeCell ref="B3:L3"/>
    <mergeCell ref="B6:L6"/>
    <mergeCell ref="B7:L7"/>
    <mergeCell ref="B18:L18"/>
    <mergeCell ref="R7:U7"/>
    <mergeCell ref="P7:Q8"/>
    <mergeCell ref="V7:X7"/>
    <mergeCell ref="P13:Q14"/>
    <mergeCell ref="R13:U13"/>
    <mergeCell ref="V13:X13"/>
    <mergeCell ref="R31:W31"/>
    <mergeCell ref="R32:W32"/>
    <mergeCell ref="R33:W33"/>
    <mergeCell ref="B31:L31"/>
    <mergeCell ref="B32:L32"/>
    <mergeCell ref="M2:M34"/>
    <mergeCell ref="B29:L29"/>
    <mergeCell ref="B2:L2"/>
    <mergeCell ref="B4:L4"/>
    <mergeCell ref="B19:L19"/>
    <mergeCell ref="B24:L24"/>
    <mergeCell ref="A2:A34"/>
    <mergeCell ref="A1:M1"/>
    <mergeCell ref="R26:W26"/>
    <mergeCell ref="R27:W27"/>
    <mergeCell ref="R28:W28"/>
    <mergeCell ref="R29:W29"/>
    <mergeCell ref="V19:X19"/>
    <mergeCell ref="P5:X5"/>
    <mergeCell ref="P25:X25"/>
    <mergeCell ref="B5:L5"/>
    <mergeCell ref="B25:L25"/>
    <mergeCell ref="B28:L28"/>
    <mergeCell ref="P19:Q20"/>
    <mergeCell ref="R19:U19"/>
    <mergeCell ref="R34:W34"/>
    <mergeCell ref="R30:W30"/>
  </mergeCells>
  <phoneticPr fontId="3" type="noConversion"/>
  <printOptions horizontalCentered="1" verticalCentered="1"/>
  <pageMargins left="0.19685039370078741" right="0.19685039370078741" top="0.19685039370078741" bottom="0.19685039370078741" header="0" footer="0"/>
  <pageSetup paperSize="9" scale="6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FED155-7D74-415E-BDF0-ED15AD38CE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REGULAMENTO</vt:lpstr>
      <vt:lpstr>GRUPOS</vt:lpstr>
      <vt:lpstr>TABELA_AVERAGE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 Lucas Vale da Silva</dc:creator>
  <cp:lastModifiedBy>Wander Lucas</cp:lastModifiedBy>
  <cp:lastPrinted>2026-05-22T14:13:59Z</cp:lastPrinted>
  <dcterms:created xsi:type="dcterms:W3CDTF">2022-11-04T18:41:09Z</dcterms:created>
  <dcterms:modified xsi:type="dcterms:W3CDTF">2026-05-22T14:35:10Z</dcterms:modified>
</cp:coreProperties>
</file>